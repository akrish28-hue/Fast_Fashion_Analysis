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c4fc10201e899971/Documents/"/>
    </mc:Choice>
  </mc:AlternateContent>
  <xr:revisionPtr revIDLastSave="1" documentId="11_0A9898365C406BC60D09297B049FA1232ADA0CE7" xr6:coauthVersionLast="47" xr6:coauthVersionMax="47" xr10:uidLastSave="{BADD10EF-CB27-411C-A1E1-3A29C3E2454B}"/>
  <bookViews>
    <workbookView xWindow="-120" yWindow="-120" windowWidth="20730" windowHeight="11040" xr2:uid="{00000000-000D-0000-FFFF-FFFF00000000}"/>
  </bookViews>
  <sheets>
    <sheet name="Sheet1" sheetId="1" r:id="rId1"/>
    <sheet name="LR - Price v Sal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eDeD7aPH8WdqHvJEen/Z1h+mjrq3DUJfP65NIXRhCEU="/>
    </ext>
  </extLst>
</workbook>
</file>

<file path=xl/calcChain.xml><?xml version="1.0" encoding="utf-8"?>
<calcChain xmlns="http://schemas.openxmlformats.org/spreadsheetml/2006/main">
  <c r="L61" i="1" l="1"/>
  <c r="L57" i="1"/>
  <c r="L56" i="1"/>
  <c r="L55" i="1"/>
  <c r="L54" i="1"/>
  <c r="L52" i="1"/>
  <c r="L51" i="1"/>
  <c r="L50" i="1"/>
  <c r="L49" i="1"/>
  <c r="L48" i="1"/>
  <c r="L46" i="1"/>
  <c r="L45" i="1"/>
  <c r="L44" i="1"/>
  <c r="L43" i="1"/>
  <c r="L42" i="1"/>
  <c r="L41" i="1"/>
  <c r="L40" i="1"/>
  <c r="L39" i="1"/>
  <c r="L38" i="1"/>
  <c r="L37" i="1"/>
  <c r="L36" i="1"/>
  <c r="L35" i="1"/>
  <c r="L34" i="1"/>
  <c r="L13" i="1"/>
  <c r="L12" i="1"/>
  <c r="L11" i="1"/>
</calcChain>
</file>

<file path=xl/sharedStrings.xml><?xml version="1.0" encoding="utf-8"?>
<sst xmlns="http://schemas.openxmlformats.org/spreadsheetml/2006/main" count="3063" uniqueCount="926">
  <si>
    <t>Product_ID</t>
  </si>
  <si>
    <t>Product_Position</t>
  </si>
  <si>
    <t>Promotion</t>
  </si>
  <si>
    <t>Product_Category</t>
  </si>
  <si>
    <t>Seasonal</t>
  </si>
  <si>
    <t>Sales_Volume</t>
  </si>
  <si>
    <t>brand</t>
  </si>
  <si>
    <t>url</t>
  </si>
  <si>
    <t>sku</t>
  </si>
  <si>
    <t>name</t>
  </si>
  <si>
    <t>description</t>
  </si>
  <si>
    <t>price</t>
  </si>
  <si>
    <t>currency</t>
  </si>
  <si>
    <t>scraped_at</t>
  </si>
  <si>
    <t>terms</t>
  </si>
  <si>
    <t>section</t>
  </si>
  <si>
    <t>Aisle</t>
  </si>
  <si>
    <t>No</t>
  </si>
  <si>
    <t>Clothing</t>
  </si>
  <si>
    <t>Zara</t>
  </si>
  <si>
    <t>https://www.zara.com/us/en/basic-puffer-jacket-p06985450.html</t>
  </si>
  <si>
    <t>272145190-250-2</t>
  </si>
  <si>
    <t>BASIC PUFFER JACKET</t>
  </si>
  <si>
    <t>Puffer jacket made of tear-resistant ripstop fabric. High collar and adjustable long sleeves with adhesive straps. Welt pockets at hip. Adjustable hem with side elastics. Front zip closure.</t>
  </si>
  <si>
    <t>USD</t>
  </si>
  <si>
    <t>jackets</t>
  </si>
  <si>
    <t>MAN</t>
  </si>
  <si>
    <t>https://www.zara.com/us/en/tuxedo-jacket-p08896675.html</t>
  </si>
  <si>
    <t>324052738-800-46</t>
  </si>
  <si>
    <t>TUXEDO JACKET</t>
  </si>
  <si>
    <t>Straight fit blazer. Pointed lapel collar and long sleeves with buttoned cuffs. Welt pockets at hip and interior pocket. Central back vent at hem. Front button closure.</t>
  </si>
  <si>
    <t>End-cap</t>
  </si>
  <si>
    <t>Yes</t>
  </si>
  <si>
    <t>https://www.zara.com/us/en/slim-fit-suit-jacket-p01564520.html</t>
  </si>
  <si>
    <t>335342680-800-44</t>
  </si>
  <si>
    <t>SLIM FIT SUIT JACKET</t>
  </si>
  <si>
    <t>Slim fit jacket. Notched lapel collar. Long sleeves with buttoned cuffs. Welt pocket at chest and flap pockets at hip. Interior pocket. Back vents. Front button closure.</t>
  </si>
  <si>
    <t>https://www.zara.com/us/en/stretch-suit-jacket-p01564300.html</t>
  </si>
  <si>
    <t>328303236-420-44</t>
  </si>
  <si>
    <t>STRETCH SUIT JACKET</t>
  </si>
  <si>
    <t>Slim fit jacket made of viscose blend fabric. Notched lapel collar. Long sleeves with buttoned cuffs. Welt pocket at chest and flap pockets at hip. Interior pocket. Back vents. Front button closure.</t>
  </si>
  <si>
    <t>https://www.zara.com/us/en/double-faced-jacket-p08281477.html</t>
  </si>
  <si>
    <t>312368260-800-2</t>
  </si>
  <si>
    <t>DOUBLE FACED JACKET</t>
  </si>
  <si>
    <t>Jacket made of faux leather faux shearling with fleece interior. Tabbed lapel collar. Long sleeves. Zip pockets at hip. Front zip closure.</t>
  </si>
  <si>
    <t>https://www.zara.com/us/en/contrasting-collar-jacket-p06987331.html</t>
  </si>
  <si>
    <t>320298385-807-2</t>
  </si>
  <si>
    <t>CONTRASTING COLLAR JACKET</t>
  </si>
  <si>
    <t>Relaxed fit jacket. Contrasting lapel collar and long sleeves with buttoned cuffs. Front pouch pockets. Interior pocket. Washed effect. Front zip closure.</t>
  </si>
  <si>
    <t>Front of Store</t>
  </si>
  <si>
    <t>https://www.zara.com/us/en/faux-leather-puffer-jacket-p08281420.html</t>
  </si>
  <si>
    <t>278112470-800-2</t>
  </si>
  <si>
    <t>FAUX LEATHER PUFFER JACKET</t>
  </si>
  <si>
    <t>Faux leather puffer jacket. High collar and long sleeves with ribbed interior cuffs. Welt pockets at hip. Interior pocket. Adjustable hem with side elastics. Front zip closure.</t>
  </si>
  <si>
    <t>https://www.zara.com/us/en/suit-jacket-in-100-linen-p04307408.html</t>
  </si>
  <si>
    <t>322972485-431-46</t>
  </si>
  <si>
    <t>SUIT JACKET IN 100% LINEN</t>
  </si>
  <si>
    <t>Straight fit blazer made of linen. Notched lapel collar and long sleeves with buttoned cuffs. Welt pocket at chest and flap pockets at hip. Interior pocket. Back vents. Front button closure.</t>
  </si>
  <si>
    <t>https://www.zara.com/us/en/100-wool-suit-jacket-p05955218.html</t>
  </si>
  <si>
    <t>313854165-401-46</t>
  </si>
  <si>
    <t>100% WOOL SUIT JACKET</t>
  </si>
  <si>
    <t>Jacket made of Italian wool. Pointed lapel collar and long sleeves with buttoned cuffs. Welt pocket at chest and flap pockets at hip. Interior pocket. Back vents. Front button closure.</t>
  </si>
  <si>
    <t>https://www.zara.com/us/en/100-feather-fill-puffer-jacket-p04302305.html</t>
  </si>
  <si>
    <t>312372602-800-2</t>
  </si>
  <si>
    <t>100% FEATHER FILL PUFFER JACKET</t>
  </si>
  <si>
    <t>Puffer jacket made of shiny finish technical fabric. Fill is a blend of 80% down and 20% feathers. High collar with adjustable hood and long sleeves with elastic cuffs. Welt pockets at hip and interior pocket. Adjustable hem with side elastics. Front zip closure.</t>
  </si>
  <si>
    <t>https://www.zara.com/us/en/herringbone-textured-jacket-p08491401.html</t>
  </si>
  <si>
    <t>316207900-710-2</t>
  </si>
  <si>
    <t>HERRINGBONE TEXTURED JACKET</t>
  </si>
  <si>
    <t>Jacket made of wool blend fabric. Lapel collar and long sleeves. Welt pockets at hip. Front zip closure.</t>
  </si>
  <si>
    <t>https://www.zara.com/us/en/oversized-cropped-jacket-limited-edition-p04304672.html</t>
  </si>
  <si>
    <t>329186122-800-2</t>
  </si>
  <si>
    <t>OVERSIZED CROPPED JACKET LIMITED EDITION</t>
  </si>
  <si>
    <t>Oversized cropped jacket. Notched lapel collar and long sleeves with buttoned cuffs. Flap pockets at waist ad interior pocket. Front button closure.</t>
  </si>
  <si>
    <t>https://www.zara.com/us/en/leather-biker-jacket-p05833412.html</t>
  </si>
  <si>
    <t>311297791-800-2</t>
  </si>
  <si>
    <t>LEATHER BIKER JACKET</t>
  </si>
  <si>
    <t>Jacket with lapel collar and snap button details. Long sleeves with zip cuffs. Front zip pockets and interior pocket. Asymmetric front closure with metal zipper.</t>
  </si>
  <si>
    <t>https://www.zara.com/us/en/cropped-leather-jacket-p02521104.html</t>
  </si>
  <si>
    <t>323134418-800-3</t>
  </si>
  <si>
    <t>CROPPED LEATHER JACKET</t>
  </si>
  <si>
    <t>Leather jacket. Cropped length. Lapel collar and long sleeves. Front hidden in-seam pockets. Front zip closure.</t>
  </si>
  <si>
    <t>https://www.zara.com/us/en/faux-leather-boxy-fit-jacket-p08281654.html</t>
  </si>
  <si>
    <t>311297555-706-2</t>
  </si>
  <si>
    <t>FAUX LEATHER BOXY FIT JACKET</t>
  </si>
  <si>
    <t>Boxy fit jacket. Lapel collar and long sleeves with buttoned cuffs. Welt pockets at hip. Front button closure.</t>
  </si>
  <si>
    <t>https://www.zara.com/us/en/faux-leather-jacket-p03427320.html</t>
  </si>
  <si>
    <t>317012940-800-2</t>
  </si>
  <si>
    <t>FAUX LEATHER JACKET</t>
  </si>
  <si>
    <t>Jacket made of faux leather fabric. Lapel collar with snap button details. Long sleeves with zip cuffs. Front zip pockets at chest and hip. Interior pocket. Asymmetric front closure with metal zipper.</t>
  </si>
  <si>
    <t>https://www.zara.com/us/en/faux-suede-bomber-jacket-p06318600.html</t>
  </si>
  <si>
    <t>311292672-800-2</t>
  </si>
  <si>
    <t>FAUX SUEDE BOMBER JACKET</t>
  </si>
  <si>
    <t>Jacket made of faux suede fabric. Ribbed elastic high collar and long sleeve. Welt pockets at hip. Rib trim. Front zip closure.</t>
  </si>
  <si>
    <t>https://www.zara.com/us/en/denim-bomber-jacket-p00621400.html</t>
  </si>
  <si>
    <t>321496837-400-3</t>
  </si>
  <si>
    <t>DENIM BOMBER JACKET</t>
  </si>
  <si>
    <t>Jacket made of denim fabric with padded interior. Rib elastic collar and long sleeves. Welt pockets at hip and interior pocket. Elastic hem. All-over contrasting topstitching details. Front zip closure.</t>
  </si>
  <si>
    <t>https://www.zara.com/us/en/boucle-textured-jacket-p08491402.html</t>
  </si>
  <si>
    <t>316205038-615-2</t>
  </si>
  <si>
    <t>BOUCLÃ‰ TEXTURED JACKET</t>
  </si>
  <si>
    <t>Cropped jacket made with wool blend fabric. High collar and long sleeves with elastic cuffs. Front patch pockets with flaps. Elastic hem. Front snap button closure.</t>
  </si>
  <si>
    <t>https://www.zara.com/us/en/suit-jacket-in-100-linen-p04307443.html</t>
  </si>
  <si>
    <t>322972473-052-46</t>
  </si>
  <si>
    <t>Straight fit blazer made of linen. Notched lapel collar and long sleeves with buttoned cuffs. Flap pockets at hip. Interior pocket. Back vents. Front button closure.</t>
  </si>
  <si>
    <t>https://www.zara.com/us/en/jacquard-denim-jacket-p07627402.html</t>
  </si>
  <si>
    <t>313845662-400-3</t>
  </si>
  <si>
    <t>JACQUARD DENIM JACKET</t>
  </si>
  <si>
    <t>Lapel collar jacket with long sleeves with buttoned cuffs. Patch pockets with flaps at chest and side pockets at hip. Front hidden button closure.</t>
  </si>
  <si>
    <t>https://www.zara.com/us/en/padded-denim-jacket-p01538413.html</t>
  </si>
  <si>
    <t>320264577-800-2</t>
  </si>
  <si>
    <t>PADDED DENIM JACKET</t>
  </si>
  <si>
    <t>Cropped jacket with lightly quilted interior. Lapel collar and long sleeves. Flap patch pockets at hip. Washed effect. Rib hems. Front zip closure.</t>
  </si>
  <si>
    <t>https://www.zara.com/us/en/leather-jacket-p05479400.html</t>
  </si>
  <si>
    <t>315529534-705-3</t>
  </si>
  <si>
    <t>LEATHER JACKET</t>
  </si>
  <si>
    <t>Relaxed fit jacket in leather. Spread collar and long sleeves with slit cuffs with button closure. Patch pockets at hip. Back vents. Front button closure.</t>
  </si>
  <si>
    <t>https://www.zara.com/us/en/lightweight-bomber-jacket-p08281315.html</t>
  </si>
  <si>
    <t>320423517-800-2</t>
  </si>
  <si>
    <t>LIGHTWEIGHT BOMBER JACKET</t>
  </si>
  <si>
    <t>Lightweight jacket made of technical fabric. Round neck and long sleeves. Welt pockets at hip. Interior pocket. Rib trim. Front zip closure.</t>
  </si>
  <si>
    <t>https://www.zara.com/us/en/suit-jacket-p04303266.html</t>
  </si>
  <si>
    <t>328250627-251-46</t>
  </si>
  <si>
    <t>SUIT JACKET</t>
  </si>
  <si>
    <t>Straight fit jacket made of dense stretch fabric. Notched lapel collar and long sleeves with buttoned cuffs. Welt pocket at chest and flap pockets at hip. Interior pocket. Back vents. Front button closure.</t>
  </si>
  <si>
    <t>https://www.zara.com/us/en/faux-leather-bomber-jacket-p03918420.html</t>
  </si>
  <si>
    <t>311309526-800-2</t>
  </si>
  <si>
    <t>FAUX LEATHER BOMBER JACKET</t>
  </si>
  <si>
    <t>Jacket made of faux leather fabric. High collar and long sleeves. Welt pockets at hip and interior pocket. Rib trim. Front zip closure.</t>
  </si>
  <si>
    <t>https://www.zara.com/us/en/patch-bomber-jacket-p03918330.html</t>
  </si>
  <si>
    <t>311287528-811-2</t>
  </si>
  <si>
    <t>PATCH BOMBER JACKET</t>
  </si>
  <si>
    <t>Varsity jacket made of faux suede fabric. Double welt pockets at hip and interior pocket. Front and back contrasting patch appliquÃ©s and embroidery. Rib trim. Front snap button closure.</t>
  </si>
  <si>
    <t>https://www.zara.com/us/en/stretch-pocket-overshirt-p07484478.html</t>
  </si>
  <si>
    <t>342657802-914-2</t>
  </si>
  <si>
    <t>STRETCH POCKET OVERSHIRT</t>
  </si>
  <si>
    <t>Overshirt made of stretchy fabric. Lapel collar and long sleeves with snap buttoned cuffs. Chest patch pockets. Front snap button closure.</t>
  </si>
  <si>
    <t>https://www.zara.com/us/en/rib-collar-jacket-p08281410.html</t>
  </si>
  <si>
    <t>316207898-712-2</t>
  </si>
  <si>
    <t>RIB COLLAR JACKET</t>
  </si>
  <si>
    <t>Jacket made of technical fabric with padded interior. Tonal elastic rib high collar. Long sleeves. Welt pockets at hip and interior pocket. Interior elastic finish. Front zip closure.</t>
  </si>
  <si>
    <t>https://www.zara.com/us/en/faux-leather-oversized-jacket-limited-edition-p07380310.html</t>
  </si>
  <si>
    <t>321496761-800-2</t>
  </si>
  <si>
    <t>FAUX LEATHER OVERSIZED JACKET LIMITED EDITION</t>
  </si>
  <si>
    <t>Oversized jacket. Notched lapel collar and long sleeves. Flap pockets at hip and interior pocket. Front button closure.</t>
  </si>
  <si>
    <t>https://www.zara.com/us/en/contrasting-patches-bomber-jacket-p06318411.html</t>
  </si>
  <si>
    <t>311307255-800-2</t>
  </si>
  <si>
    <t>CONTRASTING PATCHES BOMBER JACKET</t>
  </si>
  <si>
    <t>Varsity jacket with elastic collar and long sleeves. Welt pockets at hip and interior pocket. Embroidered appliquÃ© and contrast front and back patches. Rib trim. Front snap button closure.</t>
  </si>
  <si>
    <t>https://www.zara.com/us/en/patch-bomber-jacket-p03833404.html</t>
  </si>
  <si>
    <t>317129011-500-2</t>
  </si>
  <si>
    <t>Varsity jacket with padded interior. Rib elastic collar and long sleeves in contrast faux leather. Double welt pockets at hip and interior pocket. Contrasting patch appliquÃ©s at front and back. Rib trim. Front snap button closure.</t>
  </si>
  <si>
    <t>https://www.zara.com/us/en/cropped-bomber-jacket-limited-edition-p08281600.html</t>
  </si>
  <si>
    <t>330274270-800-2</t>
  </si>
  <si>
    <t>CROPPED BOMBER JACKET LIMITED EDITION</t>
  </si>
  <si>
    <t>Jacket with lightly padded interior. Rib collar and long sleeves. Flap pockets at waist. Rib trim. Front asymmetric zip closure.</t>
  </si>
  <si>
    <t>https://www.zara.com/us/en/faux-leather-puffer-jacket-p03833302.html</t>
  </si>
  <si>
    <t>311297855-800-2</t>
  </si>
  <si>
    <t>Faux leather jacket with padded interior. Lapel collar and long sleeves with snap buttoned cuffs. Welt pockets at hip and interior pocket. Elastic hem. Front zip hidden by a snap button flap.</t>
  </si>
  <si>
    <t>https://www.zara.com/us/en/faux-leather-bomber-jacket-p08281667.html</t>
  </si>
  <si>
    <t>317782474-800-2</t>
  </si>
  <si>
    <t>Jacket made of faux leather fabric. Rib elastic collar and long sleeves. Zip pockets with flaps at hip. Interior pocket. Elastic hem. Front zip closure.</t>
  </si>
  <si>
    <t>https://www.zara.com/us/en/bomber-jacket-p06318502.html</t>
  </si>
  <si>
    <t>315758723-401-2</t>
  </si>
  <si>
    <t>BOMBER JACKET</t>
  </si>
  <si>
    <t>Varsity jacket. High collar and long sleeves. Welt pockets at hip and interior pocket. Rib trim. Front snap button closure.</t>
  </si>
  <si>
    <t>https://www.zara.com/us/en/faux-suede-jacket-p08281652.html</t>
  </si>
  <si>
    <t>311302863-800-2</t>
  </si>
  <si>
    <t>FAUX SUEDE JACKET</t>
  </si>
  <si>
    <t>Lapel collar jacket with long sleeves with buttoned cuffs. Flap pockets at chest and welt pockets at hip. Front button closure.</t>
  </si>
  <si>
    <t>https://www.zara.com/us/en/faux-suede-bomber-jacket-p08574500.html</t>
  </si>
  <si>
    <t>311282759-806-2</t>
  </si>
  <si>
    <t>Jacket made of faux suede fabric. Rib elastic collar and long sleeves. Welt pockets at hip. Rib trim. Front zip closure.</t>
  </si>
  <si>
    <t>https://www.zara.com/us/en/suede-jacket-p02521102.html</t>
  </si>
  <si>
    <t>323134415-700-3</t>
  </si>
  <si>
    <t>SUEDE JACKET</t>
  </si>
  <si>
    <t>Jacket made of suede. Cropped length. Lapel collar and long sleeves. Front hidden in-seam pockets. Front zip closure.</t>
  </si>
  <si>
    <t>https://www.zara.com/us/en/contrasting-collar-jacket-p01538369.html</t>
  </si>
  <si>
    <t>312372582-526-2</t>
  </si>
  <si>
    <t>Jacket with lightly padded interior. Contrasting lapel collar. Long sleeves with buttoned cuffs. Washed effect. Double welt pockets at chest and hip. Front zip closure.</t>
  </si>
  <si>
    <t>https://www.zara.com/us/en/textured-jacket-p04302457.html</t>
  </si>
  <si>
    <t>321143726-712-2</t>
  </si>
  <si>
    <t>TEXTURED JACKET</t>
  </si>
  <si>
    <t>Jacket made of textured fabric. Lapel collar and long sleeves with buttoned cuffs. Patch pockets at chest and hidden pockets at hip. Side vents at hem. Front button closure.</t>
  </si>
  <si>
    <t>https://www.zara.com/us/en/cropped-textured-jacket-p01538410.html</t>
  </si>
  <si>
    <t>320220949-507-2</t>
  </si>
  <si>
    <t>CROPPED TEXTURED JACKET</t>
  </si>
  <si>
    <t>Jacket made of dense cotton fabric cut on the bias. Lapel collar and long sleeves with buttoned cuffs. Welt pockets at hip and interior pocket. Cropped length. Front zip closure.</t>
  </si>
  <si>
    <t>https://www.zara.com/us/en/pocket-puffer-jacket-p08281439.html</t>
  </si>
  <si>
    <t>312664937-514-2</t>
  </si>
  <si>
    <t>POCKET PUFFER JACKET</t>
  </si>
  <si>
    <t>Quilted jacket made of technical fabric. High collar and long sleeves. Flap pocket at chest and hidden in-seam pockets at side hip. Interior pocket. Interior elastic hem. Cropped length. Front zip closure.</t>
  </si>
  <si>
    <t>https://www.zara.com/us/en/technical-jacket-with-pockets-p03286501.html</t>
  </si>
  <si>
    <t>321143723-401-2</t>
  </si>
  <si>
    <t>TECHNICAL JACKET WITH POCKETS</t>
  </si>
  <si>
    <t>Jacket made of technical fabric with quilted interior. Lapel collar and long sleeves. Flap patch pockets at hip. Rib trim. Front button closure.</t>
  </si>
  <si>
    <t>https://www.zara.com/us/en/faux-leather-jacket-p08281345.html</t>
  </si>
  <si>
    <t>311297763-800-2</t>
  </si>
  <si>
    <t>Jacket made of faux leather fabric. Lapel collar and long sleeves with snap buttoned cuffs. Welt pockets at hip. Front snap button closure.</t>
  </si>
  <si>
    <t>https://www.zara.com/us/en/faux-suede-jacket-p03548689.html</t>
  </si>
  <si>
    <t>311292194-731-2</t>
  </si>
  <si>
    <t>https://www.zara.com/us/en/ripped-denim-jacket-p01538470.html</t>
  </si>
  <si>
    <t>335663355-406-2</t>
  </si>
  <si>
    <t>RIPPED DENIM JACKET</t>
  </si>
  <si>
    <t>Denim jacket with lapel collar and long sleeves with buttoned cuffs. Flap pockets at chest and welt pockets at hip. All over washed effect and rips. Front button closure.</t>
  </si>
  <si>
    <t>https://www.zara.com/us/en/textured-pocket-jacket-p03918500.html</t>
  </si>
  <si>
    <t>312363708-800-2</t>
  </si>
  <si>
    <t>TEXTURED POCKET JACKET</t>
  </si>
  <si>
    <t>Jacket with lightly padded interior. Lapel collar and long sleeves with buttoned cuffs. Flap pockets at chest and welt pockets at hip. Front button closure.</t>
  </si>
  <si>
    <t>https://www.zara.com/us/en/faux-suede-patch-jacket-p08281357.html</t>
  </si>
  <si>
    <t>312320664-251-2</t>
  </si>
  <si>
    <t>FAUX SUEDE PATCH JACKET</t>
  </si>
  <si>
    <t>Varsity jacket made of faux suede fabric. Lapel collar and long sleeves. Double welt pockets at hip and interior pocket. Front contrasting patch appliquÃ©s and embroidery. Rib trim. Front snap button closure.</t>
  </si>
  <si>
    <t>https://www.zara.com/us/en/puffer-jacket-with-pouch-pocket-p00155401.html</t>
  </si>
  <si>
    <t>311302445-445-97</t>
  </si>
  <si>
    <t>PUFFER JACKET WITH POUCH POCKET</t>
  </si>
  <si>
    <t>Jacket made of technical fabric with padded interior. High collar with front zip closure and long sleeves with elastic strap cuffs. Front and back contrast embroidered text. Zip pockets at hip. Adjustable elastic strap at hem with side zippers and strap.</t>
  </si>
  <si>
    <t>https://www.zara.com/us/en/bomber-jacket-p05039440.html</t>
  </si>
  <si>
    <t>323216370-422-97</t>
  </si>
  <si>
    <t>Boxy bomber jacket. Rib elastic collar and long sleeves. Welt pockets at hip. Elasticized trim. Front zip closure.</t>
  </si>
  <si>
    <t>https://www.zara.com/us/en/textured-weave-overshirt-p01608101.html</t>
  </si>
  <si>
    <t>317107014-707-2</t>
  </si>
  <si>
    <t>TEXTURED WEAVE OVERSHIRT</t>
  </si>
  <si>
    <t>Relaxed fit overshirt. Lapel collar and long sleeves with buttoned cuffs. Side hidden in-seam pockets. Front button closure.</t>
  </si>
  <si>
    <t>https://www.zara.com/us/en/straight-suit-jacket-p04143291.html</t>
  </si>
  <si>
    <t>328594167-800-46</t>
  </si>
  <si>
    <t>STRAIGHT SUIT JACKET</t>
  </si>
  <si>
    <t>Straight fit blazer. Notched lapel collar and long sleeves with buttoned cuffs. Flap pockets at hip. Interior pocket. Central back vent at hem. Front button closure.</t>
  </si>
  <si>
    <t>https://www.zara.com/us/en/hooded-quilted-jacket-p00029501.html</t>
  </si>
  <si>
    <t>311309598-711-2</t>
  </si>
  <si>
    <t>HOODED QUILTED JACKET</t>
  </si>
  <si>
    <t>Puffer jacket with high collar and adjustable hood. Long sleeves with interior rib cuffs. Welt pockets at hip and interior pocket. Adjustable hem with side elastics. Front zip hidden by a snap button flap.</t>
  </si>
  <si>
    <t>https://www.zara.com/us/en/lightweight-puffer-jacket-p04302520.html</t>
  </si>
  <si>
    <t>267133943-711-2</t>
  </si>
  <si>
    <t>LIGHTWEIGHT PUFFER JACKET</t>
  </si>
  <si>
    <t>Padded jacket made of technical fabric. High collar and long sleeves. Welt pockets at hip. Elasticized trim. Front zip closure.</t>
  </si>
  <si>
    <t>https://www.zara.com/us/en/cotton-blend-bomber-jacket-p06518350.html</t>
  </si>
  <si>
    <t>318265017-401-2</t>
  </si>
  <si>
    <t>COTTON BLEND BOMBER JACKET</t>
  </si>
  <si>
    <t>Jacket made of cotton blend fabric. High collar and long sleeves. Welt pockets at hip. Rib trim. Cropped length. Front zip closure.</t>
  </si>
  <si>
    <t>https://www.zara.com/us/en/pocket-jacket-p06318507.html</t>
  </si>
  <si>
    <t>322410604-401-2</t>
  </si>
  <si>
    <t>POCKET JACKET</t>
  </si>
  <si>
    <t>Jacket made of dense technical fabric. Lapel collar and long sleeves with buttoned cuffs. Multi-functional front pockets. Front zip hidden by a snap button flap.</t>
  </si>
  <si>
    <t>https://www.zara.com/us/en/oversized-bomber-jacket-p08281311.html</t>
  </si>
  <si>
    <t>324149982-982-2</t>
  </si>
  <si>
    <t>OVERSIZED BOMBER JACKET</t>
  </si>
  <si>
    <t>Oversized jacket made of technical fabric. High collar and long sleeves with pocket detail. Welt pockets at hip and interior pocket. Rib trim. Adjustable asymmetric hem with side zippers. Front zip closure.</t>
  </si>
  <si>
    <t>https://www.zara.com/us/en/embroidered-patch-jacket-p05320345.html</t>
  </si>
  <si>
    <t>320531693-707-2</t>
  </si>
  <si>
    <t>EMBROIDERED PATCH JACKET</t>
  </si>
  <si>
    <t>Roomy jacket made of lightweight fabric. Lapel collar and long sleeves with elastic cuffs. Contrasting patch appliquÃ©s with embroidery at front and back. Front pouch pocket. Elastic hem. Front zip closure.</t>
  </si>
  <si>
    <t>https://www.zara.com/us/en/acid-wash-denim-jacket-p06688401.html</t>
  </si>
  <si>
    <t>328279967-409-3</t>
  </si>
  <si>
    <t>ACID WASH DENIM JACKET</t>
  </si>
  <si>
    <t>Jacket made of cotton denim. Lapel collar and long sleeves with buttoned cuffs. Patch pockets at chest and side pockets at hip. Washed effect. Front zip closure.</t>
  </si>
  <si>
    <t>https://www.zara.com/us/en/vintage-effect-leather-bomber-jacket-p02521300.html</t>
  </si>
  <si>
    <t>320774184-800-97</t>
  </si>
  <si>
    <t>VINTAGE EFFECT LEATHER BOMBER JACKET</t>
  </si>
  <si>
    <t>https://www.zara.com/us/en/textured-denim-jacket-limited-edition-p01538430.html</t>
  </si>
  <si>
    <t>322972491-800-2</t>
  </si>
  <si>
    <t>TEXTURED DENIM JACKET LIMITED EDITION</t>
  </si>
  <si>
    <t>Lapel collar jacket with long sleeves with buttoned cuffs. Flap pockets at chest and welt pockets at hip. All over washed and uneven textured effect. Front button closure.</t>
  </si>
  <si>
    <t>https://www.zara.com/us/en/wool-blend-jacket-p09621448.html</t>
  </si>
  <si>
    <t>321501682-800-2</t>
  </si>
  <si>
    <t>WOOL BLEND JACKET</t>
  </si>
  <si>
    <t>Jacket made of wool blend fabric. Lapel collar and long sleeves. Welt pockets at hip and interior pocket. Rib trim. Front zip closure.</t>
  </si>
  <si>
    <t>https://www.zara.com/us/en/cotton---linen-blend-jacket-p00706103.html</t>
  </si>
  <si>
    <t>328616906-712-2</t>
  </si>
  <si>
    <t>COTTON - LINEN BLEND JACKET</t>
  </si>
  <si>
    <t>Jacket made of cotton and linen blend fabric. Lapel collar and long sleeves with buttoned cuffs. Patch pocket at chest and side pockets at hip. Elastic hem. Front zip closure.</t>
  </si>
  <si>
    <t>https://www.zara.com/us/en/fleece-bomber-jacket-p08281405.html</t>
  </si>
  <si>
    <t>311292541-802-2</t>
  </si>
  <si>
    <t>FLEECE BOMBER JACKET</t>
  </si>
  <si>
    <t>Jacket made of faux shearling fabric. Rib elastic collar and long sleeves. Welt pockets at hip and interior pocket. Rib trim. Front zip closure.</t>
  </si>
  <si>
    <t>https://www.zara.com/us/en/zippered-jacket-p04087418.html</t>
  </si>
  <si>
    <t>319205114-807-2</t>
  </si>
  <si>
    <t>ZIPPERED JACKET</t>
  </si>
  <si>
    <t>Lapel collar jacket with long sleeves. Front pouch pockets. Front zip closure.</t>
  </si>
  <si>
    <t>https://www.zara.com/us/en/cotton-jacket-p00706301.html</t>
  </si>
  <si>
    <t>276213846-500-2</t>
  </si>
  <si>
    <t>COTTON JACKET</t>
  </si>
  <si>
    <t>Lapel collar jacket with long sleeves with elastic cuffs. Patch pockets at hip. Elastic hem. Front snap button closure.</t>
  </si>
  <si>
    <t>https://www.zara.com/us/en/wool-blend-textured-jacket-p04296310.html</t>
  </si>
  <si>
    <t>328244979-064-48</t>
  </si>
  <si>
    <t>WOOL BLEND TEXTURED JACKET</t>
  </si>
  <si>
    <t>Jacket made of wool blend fabric. Pointed lapel collar and long sleeves with buttoned cuffs. Welt pockets at chest and flap pockets at hip. Interior pocket. Back vents. Front double breasted button closure.</t>
  </si>
  <si>
    <t>https://www.zara.com/us/en/contrast-jacquard-jacket-p04087423.html</t>
  </si>
  <si>
    <t>323050745-798-97</t>
  </si>
  <si>
    <t>CONTRAST JACQUARD JACKET</t>
  </si>
  <si>
    <t>Full cut jacket with lapel collar and long sleeves. Front button closure.</t>
  </si>
  <si>
    <t>https://www.zara.com/us/en/cropped-overshirt-p04432403.html</t>
  </si>
  <si>
    <t>319166635-401-2</t>
  </si>
  <si>
    <t>CROPPED OVERSHIRT</t>
  </si>
  <si>
    <t>Cropped overshirt made of contrast double faced fabric. Lapel collar and long sleeves with buttoned cuffs. Chest patch pocket. Adjustable hem with side elastics. Front button closure partially hidden by a flap.</t>
  </si>
  <si>
    <t>https://www.zara.com/us/en/contrasting-patches-hooded-jacket-p03833400.html</t>
  </si>
  <si>
    <t>311297489-800-2</t>
  </si>
  <si>
    <t>CONTRASTING PATCHES HOODED JACKET</t>
  </si>
  <si>
    <t>Varsity jacket with stretchy collar and contrasting hood. Long sleeves. Welt pockets at hip and interior pocket. Embroidered appliquÃ© and contrast front and back patches. Rib trim. Front snap button closure.</t>
  </si>
  <si>
    <t>https://www.zara.com/us/en/utility-pocket-jacket-p05520451.html</t>
  </si>
  <si>
    <t>311292073-709-2</t>
  </si>
  <si>
    <t>UTILITY POCKET JACKET</t>
  </si>
  <si>
    <t>Cropped jacket. Lapel collar and long sleeves. Front utility pockets with zip closure. Washed effect. Elastic hem. Adjustable hem with side elastics. Front zip closure.</t>
  </si>
  <si>
    <t>https://www.zara.com/us/en/-p04310461.html</t>
  </si>
  <si>
    <t>336378923-700-2</t>
  </si>
  <si>
    <t>https://www.zara.com/us/en/lightweight-bomber-jacket-p04302404.html</t>
  </si>
  <si>
    <t>311292572-401-2</t>
  </si>
  <si>
    <t>https://www.zara.com/us/en/wool-blend-jacket-p05854654.html</t>
  </si>
  <si>
    <t>336821611-706-2</t>
  </si>
  <si>
    <t>Lapel collar jacket with long sleeves with buttoned cuffs. Chest patch pockets and welt pockets at hip. Front button closure.</t>
  </si>
  <si>
    <t>https://www.zara.com/us/en/technical-padded-jacket-p06518501.html</t>
  </si>
  <si>
    <t>311307584-518-2</t>
  </si>
  <si>
    <t>TECHNICAL PADDED JACKET</t>
  </si>
  <si>
    <t>Jacket made of technical fabric with padded interior. High collar with foldable interior hood. Long sleeves with interior rib cuffs. Front pockets with hidden zip closure and interior pocket detail. Adjustable hem with side elastics. Front zip hidden by a snap button flap.</t>
  </si>
  <si>
    <t>https://www.zara.com/us/en/mixed-collar-waxed-jacket-p06861405.html</t>
  </si>
  <si>
    <t>321151893-609-2</t>
  </si>
  <si>
    <t>MIXED COLLAR WAXED JACKET</t>
  </si>
  <si>
    <t>Jacket made of waxed finish fabric with lightly padded interior. Contrast fabric lapel collar. Long sleeves. Patch pockets at hip. Interior pocket. Slightly cropped length. Front hidden zip and button closure.</t>
  </si>
  <si>
    <t>https://www.zara.com/us/en/contrasting-patches-bomber-jacket-p03833401.html</t>
  </si>
  <si>
    <t>311297509-800-2</t>
  </si>
  <si>
    <t>https://www.zara.com/us/en/padded-bomber-jacket-p03918620.html</t>
  </si>
  <si>
    <t>315947178-800-2</t>
  </si>
  <si>
    <t>PADDED BOMBER JACKET</t>
  </si>
  <si>
    <t>Quilted jacket made of technical fabric. Lapel collar and long sleeves. Welt pockets at hip. Rib trim. Front zip closure.</t>
  </si>
  <si>
    <t>https://www.zara.com/us/en/technical-padded-jacket-p03833311.html</t>
  </si>
  <si>
    <t>311297745-800-2</t>
  </si>
  <si>
    <t>Jacket made of technical fabric with padded interior. Lapel collar and long sleeves with elastic cuffs. Welt pockets at hip and interior pocket. Adjustable drawstring hem. Front snap button closure.</t>
  </si>
  <si>
    <t>https://www.zara.com/us/en/pocket-denim-jacket-p00840482.html</t>
  </si>
  <si>
    <t>330290360-427-3</t>
  </si>
  <si>
    <t>POCKET DENIM JACKET</t>
  </si>
  <si>
    <t>Slightly cropped denim jacket. Lapel collar and long sleeves with buttoned cuffs. Flap patch pocket at chest and side hip. Washed effect. Front button closure.</t>
  </si>
  <si>
    <t>https://www.zara.com/us/en/boxy-fit-denim-jacket-p00840402.html</t>
  </si>
  <si>
    <t>320449897-427-2</t>
  </si>
  <si>
    <t>BOXY FIT DENIM JACKET</t>
  </si>
  <si>
    <t>Boxy fit jacket. Lapel collar and long sleeves with buttoned cuffs. Patch pockets at hip. Washed effect.Asymmetric hem with side vents. Front button closure.</t>
  </si>
  <si>
    <t>https://www.zara.com/us/en/faux-shearling-plaid-jacket-p00993305.html</t>
  </si>
  <si>
    <t>311297724-700-97</t>
  </si>
  <si>
    <t>FAUX SHEARLING PLAID JACKET</t>
  </si>
  <si>
    <t>Jacket made of faux shearling fabric. V-neckline and long sleeves with elastic cuffs. Lined interior with structured mesh fabric. Welt pockets at hip. Adjustable hem with side elastics. Front snap button closure.</t>
  </si>
  <si>
    <t>https://www.zara.com/us/en/embroidered-forest-jacket-p02795407.html</t>
  </si>
  <si>
    <t>328332050-700-97</t>
  </si>
  <si>
    <t>EMBROIDERED FOREST JACKET</t>
  </si>
  <si>
    <t>Jacket with lightly padded interior. Corduroy lapel collar. Long sleeves. Patch pockets at hip. Front button closure.</t>
  </si>
  <si>
    <t>https://www.zara.com/us/en/pocket-overshirt-p05070605.html</t>
  </si>
  <si>
    <t>311282469-505-2</t>
  </si>
  <si>
    <t>POCKET OVERSHIRT</t>
  </si>
  <si>
    <t>Cropped overshirt. Lapel collar and long sleeves with buttoned cuffs. Front patch pockets. Irregular finished seams. Front button closure.</t>
  </si>
  <si>
    <t>https://www.zara.com/us/en/boucle-textured-vest-p01437303.html</t>
  </si>
  <si>
    <t>319502128-515-2</t>
  </si>
  <si>
    <t>BOUCLE TEXTURED VEST</t>
  </si>
  <si>
    <t>Vest made of viscose and wool blend fabric. V-neckline. Patch pockets at hip. Front zip closure.</t>
  </si>
  <si>
    <t>https://www.zara.com/us/en/color-block-puffer-jacket-p08281365.html</t>
  </si>
  <si>
    <t>311287226-472-2</t>
  </si>
  <si>
    <t>COLOR BLOCK PUFFER JACKET</t>
  </si>
  <si>
    <t>Jacket made of technical fabric with padded interior. High collar and long sleeves with elastic cuffs. Front pockets with hidden zip closure. Elastic hem. Front zip closure.</t>
  </si>
  <si>
    <t>https://www.zara.com/us/en/longline-quilted-jacket-p05071688.html</t>
  </si>
  <si>
    <t>316683359-818-2</t>
  </si>
  <si>
    <t>LONGLINE QUILTED JACKET</t>
  </si>
  <si>
    <t>Parka made of technical fabric with padded interior. High collar with removable hood. Long sleeves with interior elastic cuffs. Welt pockets at chest and flap pockets at hip. Interior pocket. Adjustable interior waistband with drawstring. Adjustable hem with side elastics. Front zip hidden by a snap button flap.</t>
  </si>
  <si>
    <t>https://www.zara.com/us/en/wool-blend-suit-jacket-p04156504.html</t>
  </si>
  <si>
    <t>322901350-800-46</t>
  </si>
  <si>
    <t>WOOL BLEND SUIT JACKET</t>
  </si>
  <si>
    <t>Straight fit jacket made of wool blend fabric. Notched lapel collar and long sleeves with buttoned cuffs. Welt pockets at chest and flap pockets at hip. Interior pocket. Central vent at back hem. Front button closure.</t>
  </si>
  <si>
    <t>https://www.zara.com/us/en/hooded-knit-cardigan-p02621407.html</t>
  </si>
  <si>
    <t>322929313-802-97</t>
  </si>
  <si>
    <t>HOODED KNIT CARDIGAN</t>
  </si>
  <si>
    <t>Cotton knit jacket. Hooded collar and long sleeves. Rib trim. Front pouch pockets. Rib trim. Front zip closure.</t>
  </si>
  <si>
    <t>https://www.zara.com/us/en/hooded-technical-jacket-p01538301.html</t>
  </si>
  <si>
    <t>267186163-643-2</t>
  </si>
  <si>
    <t>HOODED TECHNICAL JACKET</t>
  </si>
  <si>
    <t>Jacket made of technical fabric with brushed interior. High collar with adjustable hood. Long sleeves with cuffs and adhesive straps. Zip pockets at chest and hip. Front zip closure.</t>
  </si>
  <si>
    <t>https://www.zara.com/us/en/houndstooth-suit-jacket-p04285498.html</t>
  </si>
  <si>
    <t>329706743-401-46</t>
  </si>
  <si>
    <t>HOUNDSTOOTH SUIT JACKET</t>
  </si>
  <si>
    <t>Straight fit blazer. Notched lapel collar and long sleeves with buttoned cuffs. Welt pocket at chest and flap pockets at hip. Interior pocket. Back vents. Front button closure.</t>
  </si>
  <si>
    <t>https://www.zara.com/us/en/bomber-jacket-p05344402.html</t>
  </si>
  <si>
    <t>321496813-710-2</t>
  </si>
  <si>
    <t>Jacket with padded interior. Rib elastic collar and long sleeves. Flap pockets at hip and interior pocket. Rib trim. Front zip closure.</t>
  </si>
  <si>
    <t>https://www.zara.com/us/en/hooded-technical-jacket-p00155502.html</t>
  </si>
  <si>
    <t>312596416-800-2</t>
  </si>
  <si>
    <t>Cropped jacket made of technical fabric. Hooded high collar and long sleeves with adjustable snap button cuffs. Front patch pockets with flaps at hips. Adjustable hem with side elastics. Front zip hidden by a snap button flap.</t>
  </si>
  <si>
    <t>https://www.zara.com/us/en/hooded-technical-jacket-p08281355.html</t>
  </si>
  <si>
    <t>311287132-251-2</t>
  </si>
  <si>
    <t>Jacket made of technical fabric. High collar with adjustable drawstring hood. Long sleeves with rib cuffs. Chest welt pocket and hip patch pockets. Interior pocket. Adjustable hem with elastics at sides. Front zip hidden by a snap button flap.</t>
  </si>
  <si>
    <t>https://www.zara.com/us/en/washed-effect-bomber-jacket-p08281307.html</t>
  </si>
  <si>
    <t>323675323-700-2</t>
  </si>
  <si>
    <t>WASHED EFFECT BOMBER JACKET</t>
  </si>
  <si>
    <t>Jacket made of technical fabric. Lapel collar and long sleeves with pocket detail. Welt pockets at hip and interior pocket. Washed effect. Elasticized trim. Front zip hidden by a snap button flap.</t>
  </si>
  <si>
    <t>https://www.zara.com/us/en/washed-technical-jacket-p04695300.html</t>
  </si>
  <si>
    <t>323672371-507-2</t>
  </si>
  <si>
    <t>WASHED TECHNICAL JACKET</t>
  </si>
  <si>
    <t>Jacket made of technical fabric. High collar and long sleeves with adjustable cuffs with snap button straps. Flap patch pockets at hip. Adjustable drawstring hem. Washed effect. Front zip hidden by a snap button flap.</t>
  </si>
  <si>
    <t>https://www.zara.com/us/en/100-feather-fill-puffer-jacket-p00155480.html</t>
  </si>
  <si>
    <t>327116625-505-2</t>
  </si>
  <si>
    <t>Puffer vest made of technical fabric. Fill is a blend of 60% down and 40% feather. Sleeveless design with high collar. Zip pockets at hip and interior pocket. Adjustable hem with side elastics. Front snap button closure.</t>
  </si>
  <si>
    <t>https://www.zara.com/us/en/padded-bomber-jacket-p03918400.html</t>
  </si>
  <si>
    <t>311302424-409-2</t>
  </si>
  <si>
    <t>Jacket made of technical fabric with lightly padded interior. Rib elastic collar and long sleeves. Zip pockets at hip. Elastic hem. Front zip closure.</t>
  </si>
  <si>
    <t>https://www.zara.com/us/en/pocket-jacket-p04297266.html</t>
  </si>
  <si>
    <t>329158644-605-2</t>
  </si>
  <si>
    <t>Regular fit jacket with lapel collar and long sleeves. Patch pockets at chest and hip. Front button closure.</t>
  </si>
  <si>
    <t>https://www.zara.com/us/en/slim-fit-suit-jacket-p04239493.html</t>
  </si>
  <si>
    <t>329300083-705-48</t>
  </si>
  <si>
    <t>https://www.zara.com/us/en/mixed-collar-jacket-p03046507.html</t>
  </si>
  <si>
    <t>323212374-510-2</t>
  </si>
  <si>
    <t>MIXED COLLAR JACKET</t>
  </si>
  <si>
    <t>Jacket made of technical fabric with lightly padded interior. Rib high collar. Long sleeves with elastic cuffs. Patch pockets at hip. Front zip closure.</t>
  </si>
  <si>
    <t>https://www.zara.com/us/en/hooded-denim-jacket-p01538428.html</t>
  </si>
  <si>
    <t>322547863-811-2</t>
  </si>
  <si>
    <t>HOODED DENIM JACKET</t>
  </si>
  <si>
    <t>Boxy fit jacket. High collar with adjustable hood and long sleeves with buttoned cuffs. Patch pockets with flaps at chest. Front straps with multi-functional ring. Washed effect. Front hidden zip and snap button closure.</t>
  </si>
  <si>
    <t>https://www.zara.com/us/en/waxed-effect-plaid-jacket-p04272302.html</t>
  </si>
  <si>
    <t>320600266-745-2</t>
  </si>
  <si>
    <t>WAXED EFFECT PLAID JACKET</t>
  </si>
  <si>
    <t>Cropped jacket made of cotton with waxed finish. Lapel collar and long adjustable cuffed sleeves. Welt pockets at hip and interior pocket. Adjustable front drawcord hem. Front zip closure.</t>
  </si>
  <si>
    <t>https://www.zara.com/us/en/wool-blend-felt-texture-jacket-p04160752.html</t>
  </si>
  <si>
    <t>320771732-800-2</t>
  </si>
  <si>
    <t>WOOL BLEND FELT TEXTURE JACKET</t>
  </si>
  <si>
    <t>Cropped jacket made with wool blend fabric. Lapel collar and long sleeves. Welt pockets at hip. Front hidden button closure.</t>
  </si>
  <si>
    <t>https://www.zara.com/us/en/printed-denim-overshirt-p02553808.html</t>
  </si>
  <si>
    <t>289179723-020-2</t>
  </si>
  <si>
    <t>PRINTED DENIM OVERSHIRT</t>
  </si>
  <si>
    <t>Boxy fit overshirt. Lapel collar and short sleeves. Front snap button closure.</t>
  </si>
  <si>
    <t>https://www.zara.com/us/en/structured-twill-overshirt-p06861430.html</t>
  </si>
  <si>
    <t>327747299-800-2</t>
  </si>
  <si>
    <t>STRUCTURED TWILL OVERSHIRT</t>
  </si>
  <si>
    <t>Regular fit overshirt made of 22% wool fabric. Lapel collar and long sleeves with buttoned cuffs. Patch pocket at chest and side pockets at hip. Side vents at hem. Front button closure.</t>
  </si>
  <si>
    <t>https://www.zara.com/us/en/cotton-overshirt-p09621103.html</t>
  </si>
  <si>
    <t>317782501-701-2</t>
  </si>
  <si>
    <t>COTTON OVERSHIRT</t>
  </si>
  <si>
    <t>Relaxed fit overshirt made with cotton fabric. Lapel collar and long sleeves with buttoned cuffs. Flap patch pockets at chest and side hip pockets. Front button closure.</t>
  </si>
  <si>
    <t>https://www.zara.com/us/en/reversible-plaid-overshirt-p09621301.html</t>
  </si>
  <si>
    <t>311282298-099-2</t>
  </si>
  <si>
    <t>REVERSIBLE PLAID OVERSHIRT</t>
  </si>
  <si>
    <t>Relaxed fit reversible overshirt. Italian collar and long sleeves with buttoned cuffs. Chest patch pocket. Front button closure.</t>
  </si>
  <si>
    <t>https://www.zara.com/us/en/plaid-overshirt-p01300100.html</t>
  </si>
  <si>
    <t>322612356-505-2</t>
  </si>
  <si>
    <t>PLAID OVERSHIRT</t>
  </si>
  <si>
    <t>Relaxed fit overshirt made with cotton fabric. Lapel collar and long sleeves with buttoned cuffs. Patch pockets at hip. Washed effect. Front button closure.</t>
  </si>
  <si>
    <t>https://www.zara.com/us/en/pocket-overshirt-p00706621.html</t>
  </si>
  <si>
    <t>311282631-712-2</t>
  </si>
  <si>
    <t>Relaxed fit overshirt. Lapel collar and long sleeves with adjustable button cuffs. Welt pockets at hip. Front zip hidden by a snap button flap.</t>
  </si>
  <si>
    <t>https://www.zara.com/us/en/100-linen-overshirt-p04224708.html</t>
  </si>
  <si>
    <t>329282612-401-2</t>
  </si>
  <si>
    <t>100% LINEN OVERSHIRT</t>
  </si>
  <si>
    <t>Relaxed fit overshirt made of linen fabric. Lapel collar and long sleeves with buttoned cuffs. Chest patch pockets. Front button closure.</t>
  </si>
  <si>
    <t>https://www.zara.com/us/en/plaid-overshirt-p08281303.html</t>
  </si>
  <si>
    <t>320026789-714-2</t>
  </si>
  <si>
    <t>Relaxed fit overshirt made of viscose blend fabric. Lapel collar and long sleeves with buttoned cuffs. Chest patch pocket. Front button closure.</t>
  </si>
  <si>
    <t>https://www.zara.com/us/en/pocket-denim-overshirt-p01472403.html</t>
  </si>
  <si>
    <t>323216360-406-2</t>
  </si>
  <si>
    <t>POCKET DENIM OVERSHIRT</t>
  </si>
  <si>
    <t>Boxy fit overshirt. Lapel collar and long sleeves with buttoned cuffs. Chest patch pockets. Washed effect. Front button closure.</t>
  </si>
  <si>
    <t>https://www.zara.com/us/en/faux-suede-overshirt-p03715303.html</t>
  </si>
  <si>
    <t>318209963-800-2</t>
  </si>
  <si>
    <t>FAUX SUEDE OVERSHIRT</t>
  </si>
  <si>
    <t>Relaxed fit overshirt. Lapel collar and long sleeves. Chest patch pocket. Front snap button closure.</t>
  </si>
  <si>
    <t>https://www.zara.com/us/en/plaid-overshirt-p00794432.html</t>
  </si>
  <si>
    <t>316727555-700-2</t>
  </si>
  <si>
    <t>Regular fit overshirt. Lapel collar and long sleeves with buttoned cuffs. Front zip closure.</t>
  </si>
  <si>
    <t>https://www.zara.com/us/en/textured-pocket-overshirt-p01934436.html</t>
  </si>
  <si>
    <t>312571093-710-2</t>
  </si>
  <si>
    <t>TEXTURED POCKET OVERSHIRT</t>
  </si>
  <si>
    <t>Overshirt made of diagonal textured cotton fabric. Lapel collar and long sleeves with buttoned cuffs. Patch pockets at hip. Front button closure.</t>
  </si>
  <si>
    <t>https://www.zara.com/us/en/pocket-overshirt-p04466468.html</t>
  </si>
  <si>
    <t>330290387-401-2</t>
  </si>
  <si>
    <t>Relaxed fit overshirt made of 25% wool fabric. Lapel collar and long sleeves with buttoned cuffs. Patch pocket at chest and side pockets at hip. Front button closure.</t>
  </si>
  <si>
    <t>https://www.zara.com/us/en/overshirt-p00706623.html</t>
  </si>
  <si>
    <t>313027279-800-2</t>
  </si>
  <si>
    <t>OVERSHIRT</t>
  </si>
  <si>
    <t>Relaxed fit overshirt made of stretch fabric. Lapel collar and long sleeves with buttoned cuffs. Chest patch pocket. Front button closure.</t>
  </si>
  <si>
    <t>https://www.zara.com/us/en/plaid-overshirt-p04266381.html</t>
  </si>
  <si>
    <t>320671529-802-2</t>
  </si>
  <si>
    <t>Cropped overshirt. Lapel collar and long sleeves with buttoned cuffs. Chest patch pocket. Irregular trim. Front button closure.</t>
  </si>
  <si>
    <t>https://www.zara.com/us/en/pocket-overshirt-p05070314.html</t>
  </si>
  <si>
    <t>323646471-802-2</t>
  </si>
  <si>
    <t>Overshirt with lapel collar and long sleeves with buttoned cuffs. Chest patch pocket. Front button closure.</t>
  </si>
  <si>
    <t>https://www.zara.com/us/en/zippered-wool-blend-overshirt-p05854401.html</t>
  </si>
  <si>
    <t>312978838-611-2</t>
  </si>
  <si>
    <t>ZIPPERED WOOL BLEND OVERSHIRT</t>
  </si>
  <si>
    <t>Relaxed fit overshirt made of wool blend fabric. Lapel collar and long sleeves with buttoned cuffs. Welt pockets at hip. Front zip closure.</t>
  </si>
  <si>
    <t>https://www.zara.com/us/en/geometric-jacquard-overshirt-p04196412.html</t>
  </si>
  <si>
    <t>336446858-822-2</t>
  </si>
  <si>
    <t>GEOMETRIC JACQUARD OVERSHIRT</t>
  </si>
  <si>
    <t>Relaxed fit overshirt made with cotton fabric. Lapel collar and long sleeves with buttoned cuffs. Welt pockets at hip. Front button closure.</t>
  </si>
  <si>
    <t>https://www.zara.com/us/en/paint-print-overshirt-p05320305.html</t>
  </si>
  <si>
    <t>281883711-071-2</t>
  </si>
  <si>
    <t>PAINT PRINT OVERSHIRT</t>
  </si>
  <si>
    <t>Relaxed fit overshirt. Lapel collar and long sleeves with snap button cuffs. Chest patch pockets. Side vents at hem. Front snap button closure.</t>
  </si>
  <si>
    <t>https://www.zara.com/us/en/padded-corduroy-overshirt-p01063400.html</t>
  </si>
  <si>
    <t>313008692-514-2</t>
  </si>
  <si>
    <t>PADDED CORDUROY OVERSHIRT</t>
  </si>
  <si>
    <t>Overshirt with quilted interior. Lapel collar and long sleeves with buttoned cuffs. Flap patch pockets at chest and in-seam pockets at side hip. Front snap button closure.</t>
  </si>
  <si>
    <t>https://www.zara.com/us/en/plaid-tie-dye-overshirt-p01063313.html</t>
  </si>
  <si>
    <t>281593208-015-2</t>
  </si>
  <si>
    <t>PLAID TIE DYE OVERSHIRT</t>
  </si>
  <si>
    <t>Regular fit overshirt made of cotton. Lapel collar and long sleeves with buttoned cuffs. Chest patch pockets. Front button closure.</t>
  </si>
  <si>
    <t>https://www.zara.com/us/en/overshirt-with-contrasting-topstitching-p06917325.html</t>
  </si>
  <si>
    <t>314937772-710-2</t>
  </si>
  <si>
    <t>OVERSHIRT WITH CONTRASTING TOPSTITCHING</t>
  </si>
  <si>
    <t>Relaxed fit overshirt made with cotton fabric. Lapel collar and long sleeves with buttoned cuffs. Chest patch pocket. Contrasting topstitching all over the garment. Front button closure.</t>
  </si>
  <si>
    <t>https://www.zara.com/us/en/quilted-structured-overshirt-p09621370.html</t>
  </si>
  <si>
    <t>320278659-251-2</t>
  </si>
  <si>
    <t>QUILTED STRUCTURED OVERSHIRT</t>
  </si>
  <si>
    <t>Regular fit overshirt with quilted interior. Lapel collar and long sleeves with buttoned cuffs. Patch pockets at chest and welt pockets at hip. Front button closure.</t>
  </si>
  <si>
    <t>https://www.zara.com/us/en/technical-overshirt-p05320500.html</t>
  </si>
  <si>
    <t>321993245-500-2</t>
  </si>
  <si>
    <t>TECHNICAL OVERSHIRT</t>
  </si>
  <si>
    <t>Regular fit overshirt with lightly padded interior. Lapel collar and long sleeves with buttoned cuffs. Flap pockets at hip. Front button closure.</t>
  </si>
  <si>
    <t>https://www.zara.com/us/en/plaid-overshirt-p07446410.html</t>
  </si>
  <si>
    <t>330590505-500-2</t>
  </si>
  <si>
    <t>Relaxed fit overshirt. Lapel collar and long sleeves with buttoned cuffs. Chest patch pocket. Front button closure.</t>
  </si>
  <si>
    <t>https://www.zara.com/us/en/suede-fisherman-sandals-p12436320.html</t>
  </si>
  <si>
    <t>320680326-107-39</t>
  </si>
  <si>
    <t>SUEDE FISHERMAN SANDALS</t>
  </si>
  <si>
    <t>Fisherman sandals. Made of leather with a suede finish. Crossed straps at front. Buckled ankle strap closure. Slightly chunky soles.</t>
  </si>
  <si>
    <t>shoes</t>
  </si>
  <si>
    <t>https://www.zara.com/us/en/zipper-multipiece-sneakers-p12319220.html</t>
  </si>
  <si>
    <t>311292244-800-39</t>
  </si>
  <si>
    <t>ZIPPER MULTIPIECE SNEAKERS</t>
  </si>
  <si>
    <t>Running shoes. Upper in a combination of pieces and finishes. Front zip closure. Back pull tab for ease. Chunky soles with irregular design.</t>
  </si>
  <si>
    <t>https://www.zara.com/us/en/suede-laceless-sneakers-p12221320.html</t>
  </si>
  <si>
    <t>311307610-400-39</t>
  </si>
  <si>
    <t>SUEDE LACELESS SNEAKERS</t>
  </si>
  <si>
    <t>Slip on sneakers. Made of leather with a suede finish. Upper in a combination of pieces. Chunky sole.</t>
  </si>
  <si>
    <t>https://www.zara.com/us/en/multicolor-sneakers-p12304320.html</t>
  </si>
  <si>
    <t>311302877-203-39</t>
  </si>
  <si>
    <t>MULTICOLOR SNEAKERS</t>
  </si>
  <si>
    <t>Sneakers. Combination of colors and pieces at upper. Lacing with six pairs of eyelets. Chunky rubber sole with irregular design.</t>
  </si>
  <si>
    <t>https://www.zara.com/us/en/retro-running-sneakers-p12350320.html</t>
  </si>
  <si>
    <t>311302598-500-39</t>
  </si>
  <si>
    <t>RETRO RUNNING SNEAKERS</t>
  </si>
  <si>
    <t>Running shoes. Upper in a combination of pieces and materials. Lacing with seven pairs of eyelets. Chunky lug soles. Retro-inspired design.</t>
  </si>
  <si>
    <t>https://www.zara.com/us/en/suede-high-tops-p12120320.html</t>
  </si>
  <si>
    <t>311297328-800-39</t>
  </si>
  <si>
    <t>SUEDE HIGH-TOPS</t>
  </si>
  <si>
    <t>High top sneakers. Upper in a combination of pieces and materials. Lacing with seven pairs of eyelets. Chunky tonal sole.</t>
  </si>
  <si>
    <t>https://www.zara.com/us/en/suede-strap-sandals-p12707320.html</t>
  </si>
  <si>
    <t>311302865-804-39</t>
  </si>
  <si>
    <t>SUEDE STRAP SANDALS</t>
  </si>
  <si>
    <t>Sandals. Made of leather with a suede finish. Two crossed wide straps at instep. Thick lightweight soles.</t>
  </si>
  <si>
    <t>https://www.zara.com/us/en/multipiece-sneakers-p12215320.html</t>
  </si>
  <si>
    <t>311307489-203-39</t>
  </si>
  <si>
    <t>MULTIPIECE SNEAKERS</t>
  </si>
  <si>
    <t>Sneakers. Upper in a combination of pieces and colors. Lacing with seven pairs of eyelets. Chunky sole with a combination of colors. Retro-inspired design.</t>
  </si>
  <si>
    <t>https://www.zara.com/us/en/topstitch-sneakers-p12240320.html</t>
  </si>
  <si>
    <t>311287075-120-39</t>
  </si>
  <si>
    <t>TOPSTITCH SNEAKERS</t>
  </si>
  <si>
    <t>Sneakers. Pieces and topstitching at upper. Lacing with six pairs of eyelets. Contrasting slightly chunky soles.</t>
  </si>
  <si>
    <t>https://www.zara.com/us/en/retro-sneakers-p12280220.html</t>
  </si>
  <si>
    <t>276378605-515-39</t>
  </si>
  <si>
    <t>RETRO SNEAKERS</t>
  </si>
  <si>
    <t>Sneakers. Upper in a combination of pieces and materials. Lacing with seven pairs of eyelets. Quilted back piece. Chunky sole. Retro style.</t>
  </si>
  <si>
    <t>https://www.zara.com/us/en/retro-high-top-sneakers-p12180220.html</t>
  </si>
  <si>
    <t>277776476-700-39</t>
  </si>
  <si>
    <t>RETRO HIGH TOP SNEAKERS</t>
  </si>
  <si>
    <t>High-top sneakers. Upper in a combination of pieces. Laces with ten pairs of eyelets. Chunky sole.</t>
  </si>
  <si>
    <t>https://www.zara.com/us/en/multi-pieced-retro-sneakers-p12220320.html</t>
  </si>
  <si>
    <t>313381662-202-39</t>
  </si>
  <si>
    <t>MULTI-PIECED RETRO SNEAKERS</t>
  </si>
  <si>
    <t>Sneakers. Upper in a combination of pieces and colors. Lacing with six pairs of eyelets. Textured chunky soles. Retro style.</t>
  </si>
  <si>
    <t>https://www.zara.com/us/en/tassel-leather-loafers-p12609320.html</t>
  </si>
  <si>
    <t>311292343-700-39</t>
  </si>
  <si>
    <t>TASSEL LEATHER LOAFERS</t>
  </si>
  <si>
    <t>Loafers. Made of leather. Smooth upper with ruching at toe. Decorative fringed tassels at instep. Rounded shape. Welt around upper. Chunky lug soles.</t>
  </si>
  <si>
    <t>https://www.zara.com/us/en/moc-toe-suede-boots-p12015320.html</t>
  </si>
  <si>
    <t>311309627-805-39</t>
  </si>
  <si>
    <t>MOC-TOE SUEDE BOOTS</t>
  </si>
  <si>
    <t>Suede leather boots. Ridged seam detail at upper. Lacing with two pairs of eyelets. Welt around upper. Slightly chunky sole.</t>
  </si>
  <si>
    <t>https://www.zara.com/us/en/strap-sandals-p12765320.html</t>
  </si>
  <si>
    <t>315851805-800-39</t>
  </si>
  <si>
    <t>STRAP SANDALS</t>
  </si>
  <si>
    <t>Sandals with two straps. The thin straps hug the instep. Slightly chunky sole.</t>
  </si>
  <si>
    <t>https://www.zara.com/us/en/suede-retro-sneakers-p12309320.html</t>
  </si>
  <si>
    <t>311292644-400-39</t>
  </si>
  <si>
    <t>SUEDE RETRO SNEAKERS</t>
  </si>
  <si>
    <t>Sneakers. Made of leather. Combination of finishes and materials at upper. Lacing with seven pairs of eyelets. Chunky sole in a combination of colors. Retro-inspired design.</t>
  </si>
  <si>
    <t>https://www.zara.com/us/en/hiking-boots-p12103320.html</t>
  </si>
  <si>
    <t>311302552-800-39</t>
  </si>
  <si>
    <t>HIKING BOOTS</t>
  </si>
  <si>
    <t>Lace-up boots. Upper in a combination of pieces and finishes. Laces with metal appliquÃ©s and seven pairs of eyelets. Welt detail around upper. Rounded shape. Chunky lug soles.</t>
  </si>
  <si>
    <t>https://www.zara.com/us/en/suede-sneakers-p12502320.html</t>
  </si>
  <si>
    <t>311302532-102-39</t>
  </si>
  <si>
    <t>SUEDE SNEAKERS</t>
  </si>
  <si>
    <t>Sneakers. Made of leather with a suede finish. Laces with five pairs of eyelets. Chunky soles.</t>
  </si>
  <si>
    <t>https://www.zara.com/us/en/faux-shearling-lined-suede-boots-p12050320.html</t>
  </si>
  <si>
    <t>311287147-723-39</t>
  </si>
  <si>
    <t>FAUX SHEARLING LINED SUEDE BOOTS</t>
  </si>
  <si>
    <t>Ankle boots. Made of leather with a suede finish. Faux shearling interior and side detail. Rounded shape. Welt around upper. Back pull tab. Chunky lug soles.</t>
  </si>
  <si>
    <t>https://www.zara.com/us/en/chunky-sole-multipiece-sneakers-p12266220.html</t>
  </si>
  <si>
    <t>311307332-202-39</t>
  </si>
  <si>
    <t>CHUNKY SNEAKERS</t>
  </si>
  <si>
    <t>Sneakers. Upper in a combination of pieces and textures. Shoelaces with six pairs of eyelets at different heights. Chunky irregular design soles. Retro-inspired design.</t>
  </si>
  <si>
    <t>https://www.zara.com/us/en/double-strap-suede-sandals-p12716320.html</t>
  </si>
  <si>
    <t>311282293-131-39</t>
  </si>
  <si>
    <t>DOUBLE STRAP SUEDE SANDALS</t>
  </si>
  <si>
    <t>Sandals. Made of leather with a suede finish. Two wide straps at instep with buckles. Insole with anatomical shaped footbed. Welt around upper. Chunky lug soles.</t>
  </si>
  <si>
    <t>https://www.zara.com/us/en/chunky-sole-canvas-lace-up-boots-p12005320.html</t>
  </si>
  <si>
    <t>311287149-800-39</t>
  </si>
  <si>
    <t>CHUNKY SOLE CANVAS LACE-UP BOOTS</t>
  </si>
  <si>
    <t>High shaft boots. Lacing with eight pairs of eyelets. Back pull tab for ease. Rounded shape. Chunky lug soles.</t>
  </si>
  <si>
    <t>https://www.zara.com/us/en/suede-penny-loafers-p12644320.html</t>
  </si>
  <si>
    <t>311307624-500-39</t>
  </si>
  <si>
    <t>SUEDE PENNY LOAFERS</t>
  </si>
  <si>
    <t>Loafers. Made of leather with a suede finish. Ornamental saddle detail at instep. Rounded shape. Contrasting colored sole.</t>
  </si>
  <si>
    <t>https://www.zara.com/us/en/adherent-stripes-sneakers-p12269320.html</t>
  </si>
  <si>
    <t>311282212-800-39</t>
  </si>
  <si>
    <t>ADHERENT STRIPES SNEAKERS</t>
  </si>
  <si>
    <t>Sneakers. Monochromatic. Upper in a combination of pieces. Closure with three adhesive straps. Slightly chunky sole.</t>
  </si>
  <si>
    <t>https://www.zara.com/us/en/multipiece-sneakers-p12318220.html</t>
  </si>
  <si>
    <t>311292281-203-39</t>
  </si>
  <si>
    <t>Running shoes. Upper in a combination of pieces and finishes. Lacing with six pairs of eyelets. Chunky soles with irregular design. Lug soles. Trek style.</t>
  </si>
  <si>
    <t>https://www.zara.com/us/en/chunky-sole-high-top-sneakers-p12104320.html</t>
  </si>
  <si>
    <t>311302515-800-39</t>
  </si>
  <si>
    <t>CHUNKY SOLE HIGH TOP SNEAKERS</t>
  </si>
  <si>
    <t>High top sneakers. Lacing with nine pairs of eyelets. Contrasting foxing around the upper. Chunky rubberized soles.</t>
  </si>
  <si>
    <t>https://www.zara.com/us/en/contrast-sole-leather-sneakers-p12510320.html</t>
  </si>
  <si>
    <t>314937773-800-39</t>
  </si>
  <si>
    <t>CONTRAST SOLE LEATHER SNEAKERS</t>
  </si>
  <si>
    <t>Sneakers. Made of leather. Upper in a combination of pieces and finishes. Lacing with six pairs of eyelets. Rounded shape. Chunky sole.</t>
  </si>
  <si>
    <t>https://www.zara.com/us/en/suede-running-sneakers-p12320320.html</t>
  </si>
  <si>
    <t>316608794-802-39</t>
  </si>
  <si>
    <t>SUEDE RUNNING SNEAKERS</t>
  </si>
  <si>
    <t>Running shoes. Made of suede leather. Upper in a combination of materials and colors. Lacing with six pairs of eyelets. Chunky soles with irregular design.</t>
  </si>
  <si>
    <t>https://www.zara.com/us/en/woven-leather-slides-p12708320.html</t>
  </si>
  <si>
    <t>319205037-800-39</t>
  </si>
  <si>
    <t>WOVEN LEATHER SLIDES</t>
  </si>
  <si>
    <t>Sandals. Made of leather. Three woven wide straps at instep. Chunky sole.</t>
  </si>
  <si>
    <t>https://www.zara.com/us/en/suede-sneakers-p12216320.html</t>
  </si>
  <si>
    <t>311307495-131-39</t>
  </si>
  <si>
    <t>Sneakers. Made of leather with a suede finish. Contrast lacing with seven pairs of eyelets. Welt around upper. Chunky sole.</t>
  </si>
  <si>
    <t>https://www.zara.com/us/en/asymmetric-cropped-knit-sweater-p06771149.html</t>
  </si>
  <si>
    <t>336449731-712-1</t>
  </si>
  <si>
    <t>ASYMMETRIC CROPPED KNIT SWEATER</t>
  </si>
  <si>
    <t>Woven V-neckline long sleeve sweater. Asymmetric hem.</t>
  </si>
  <si>
    <t>sweaters</t>
  </si>
  <si>
    <t>WOMAN</t>
  </si>
  <si>
    <t>https://www.zara.com/us/en/knit-sweater-with-pearls-p02142249.html</t>
  </si>
  <si>
    <t>313890651-712-2</t>
  </si>
  <si>
    <t>KNIT SWEATER WITH PEARLS</t>
  </si>
  <si>
    <t>Sweater made with 22% wool and 10% alpaca. Round neck and long sleeves. Faux pearl appliquÃ©.</t>
  </si>
  <si>
    <t>https://www.zara.com/us/en/high-collar-knit-sweater-p01509118.html</t>
  </si>
  <si>
    <t>287414911-803-2</t>
  </si>
  <si>
    <t>HIGH COLLAR KNIT SWEATER</t>
  </si>
  <si>
    <t>Sweater with high collar and long sleeves. Front pocket. Side vents at hem. Rib trim.</t>
  </si>
  <si>
    <t>https://www.zara.com/us/en/striped-knit-sweater-p06427115.html</t>
  </si>
  <si>
    <t>342171615-104-2</t>
  </si>
  <si>
    <t>STRIPED KNIT SWEATER</t>
  </si>
  <si>
    <t>Sweater with high collar and long sleeves. Front zip closure.</t>
  </si>
  <si>
    <t>https://www.zara.com/us/en/cable-knit-metallic-sweater-p04369103.html</t>
  </si>
  <si>
    <t>314152967-485-2</t>
  </si>
  <si>
    <t>CABLE KNIT METALLIC SWEATER</t>
  </si>
  <si>
    <t>Round neck long sleeve sweater. Metallic fabric detail and frayed trim.</t>
  </si>
  <si>
    <t>https://www.zara.com/us/en/asymmetrical-wool-and-silk-blend-sweater-p09598025.html</t>
  </si>
  <si>
    <t>324186867-642-2</t>
  </si>
  <si>
    <t>ASYMMETRICAL WOOL AND SILK BLEND SWEATER</t>
  </si>
  <si>
    <t>Wool and silk blend sweater. Asymmetric neckline and long sleeves.</t>
  </si>
  <si>
    <t>https://www.zara.com/us/en/wool-and-cashmere-blend-rib-sweater-p02893054.html</t>
  </si>
  <si>
    <t>316900618-809-2</t>
  </si>
  <si>
    <t>WOOL AND CASHMERE BLEND RIB SWEATER</t>
  </si>
  <si>
    <t>Sweater made with 80% wool and 20% cashmere. Round neck and long sleeves.</t>
  </si>
  <si>
    <t>https://www.zara.com/us/en/alpaca-and-wool-blend-tie-dye-knit-sweater-p02142220.html</t>
  </si>
  <si>
    <t>313890645-330-2</t>
  </si>
  <si>
    <t>ALPACA AND WOOL BLEND TIE DYE KNIT SWEATER</t>
  </si>
  <si>
    <t>Sweater made with 31% wool and 28% alpaca. Round neck and long sleeves.</t>
  </si>
  <si>
    <t>https://www.zara.com/us/en/mock-neck-wool-and-silk-blend-knit-top-p09598125.html</t>
  </si>
  <si>
    <t>324597432-800-2</t>
  </si>
  <si>
    <t>MOCK NECK WOOL AND SILK BLEND KNIT TOP</t>
  </si>
  <si>
    <t>Wool and silk blend top. High collar and long sleeves.</t>
  </si>
  <si>
    <t>https://www.zara.com/us/en/cashmere-blend-knit-sweater-p02893169.html</t>
  </si>
  <si>
    <t>313890686-731-2</t>
  </si>
  <si>
    <t>CASHMERE BLEND KNIT SWEATER</t>
  </si>
  <si>
    <t>Sweater made with 95% cashmere. V-neck and long sleeves. Rib trim.</t>
  </si>
  <si>
    <t>https://www.zara.com/us/en/alpaca-blend-open-knit-sweater-p05755132.html</t>
  </si>
  <si>
    <t>313890650-712-2</t>
  </si>
  <si>
    <t>ALPACA BLEND OPEN KNIT SWEATER</t>
  </si>
  <si>
    <t>Sweater made with 63% alpaca. Round neck and long sleeves.</t>
  </si>
  <si>
    <t>https://www.zara.com/us/en/oversized-knit-sweater-p09598288.html</t>
  </si>
  <si>
    <t>313890680-450-2</t>
  </si>
  <si>
    <t>OVERSIZED KNIT SWEATER</t>
  </si>
  <si>
    <t>Sweater made with 20% wool and 17% alpaca. Crew neck and long sleeves. Tonal rib trim.</t>
  </si>
  <si>
    <t>https://www.zara.com/us/en/wool-blend-knit-sweater-p02893159.html</t>
  </si>
  <si>
    <t>344575855-982-2</t>
  </si>
  <si>
    <t>WOOL BLEND KNIT SWEATER</t>
  </si>
  <si>
    <t>Sweater made with 31% wool. Round neck and long sleeves. Rib trim.</t>
  </si>
  <si>
    <t>https://www.zara.com/us/en/soft-jewel-sweater-p02298153.html</t>
  </si>
  <si>
    <t>323175653-803-2</t>
  </si>
  <si>
    <t>SOFT JEWEL SWEATER</t>
  </si>
  <si>
    <t>Sweater made of soft touch fabric. Round neckline with jewel appliquÃ©s and long sleeves.</t>
  </si>
  <si>
    <t>https://www.zara.com/us/en/faux-fur-jewel-sweater-p07901339.html</t>
  </si>
  <si>
    <t>324814227-400-2</t>
  </si>
  <si>
    <t>FAUX FUR JEWEL SWEATER</t>
  </si>
  <si>
    <t>Round neck short sleeve sweater. Soft feel faux fur fabric. Jewel appliquÃ©s.</t>
  </si>
  <si>
    <t>https://www.zara.com/us/en/metal-bead-knit-sweater-p03920018.html</t>
  </si>
  <si>
    <t>323218942-800-2</t>
  </si>
  <si>
    <t>METAL BEAD KNIT SWEATER</t>
  </si>
  <si>
    <t>Round neck long sleeve sweater. Side slit at hem with metal bead appliquÃ©s.</t>
  </si>
  <si>
    <t>https://www.zara.com/us/en/knit-sweater-with-buttons-p08851131.html</t>
  </si>
  <si>
    <t>313890656-800-2</t>
  </si>
  <si>
    <t>KNIT SWEATER WITH BUTTONS</t>
  </si>
  <si>
    <t>Basic sweater with round neck and long sleeves. Side button details at shoulders.</t>
  </si>
  <si>
    <t>https://www.zara.com/us/en/jewel-knit-sweater-p05755005.html</t>
  </si>
  <si>
    <t>321480271-802-2</t>
  </si>
  <si>
    <t>JEWEL KNIT SWEATER</t>
  </si>
  <si>
    <t>Round neck sweater with jewel appliquÃ©s and long sleeves. Back opening with button closure.</t>
  </si>
  <si>
    <t>https://www.zara.com/us/en/knit-sweater-with-piping-p05536151.html</t>
  </si>
  <si>
    <t>311297787-806-1</t>
  </si>
  <si>
    <t>KNIT SWEATER WITH PIPING</t>
  </si>
  <si>
    <t>Round neck long sleeve sweater. Contrasting piping detail. Rib trim.</t>
  </si>
  <si>
    <t>https://www.zara.com/us/en/fine-knit-crop-sweater-p09598029.html</t>
  </si>
  <si>
    <t>322677494-446-1</t>
  </si>
  <si>
    <t>FINE KNIT CROP SWEATER</t>
  </si>
  <si>
    <t>Cropped fine knit sweater with round neck and long sleeves.</t>
  </si>
  <si>
    <t>https://www.zara.com/us/en/knit-sweater-with-rips-p00021110.html</t>
  </si>
  <si>
    <t>313890688-330-1</t>
  </si>
  <si>
    <t>KNIT SWEATER WITH RIPS</t>
  </si>
  <si>
    <t>Round neck long sleeve sweater. Openwork detail with rips.</t>
  </si>
  <si>
    <t>https://www.zara.com/us/en/gathered-waist-knit-sweater-p05536012.html</t>
  </si>
  <si>
    <t>322451460-800-1</t>
  </si>
  <si>
    <t>GATHERED WAIST KNIT SWEATER</t>
  </si>
  <si>
    <t>Round neck long sleeve sweater. Fitted waist with side ruching.</t>
  </si>
  <si>
    <t>https://www.zara.com/us/en/knit-v-neck-sweater-p06771003.html</t>
  </si>
  <si>
    <t>319465261-800-2</t>
  </si>
  <si>
    <t>KNIT V-NECK SWEATER</t>
  </si>
  <si>
    <t>V-neck sweater with long sleeves. Rib trim.</t>
  </si>
  <si>
    <t>https://www.zara.com/us/en/basic-foil-knit-sweater-p00506101.html</t>
  </si>
  <si>
    <t>317331009-312-2</t>
  </si>
  <si>
    <t>BASIC FOIL KNIT SWEATER</t>
  </si>
  <si>
    <t>Round neck long sleeve sweater. Rib trim.</t>
  </si>
  <si>
    <t>https://www.zara.com/us/en/contrast-topstitching-crop-knit-sweater-p09598003.html</t>
  </si>
  <si>
    <t>311297400-803-1</t>
  </si>
  <si>
    <t>CONTRAST TOPSTITCHING CROP KNIT SWEATER</t>
  </si>
  <si>
    <t>V-neck cropped sweater with long sleeves. Front patch pockets. Contrast topstitching.</t>
  </si>
  <si>
    <t>https://www.zara.com/us/en/striped-crop-knit-sweater-p06771158.html</t>
  </si>
  <si>
    <t>336449779-104-1</t>
  </si>
  <si>
    <t>STRIPED CROP KNIT SWEATER</t>
  </si>
  <si>
    <t>Long sleeve high collar cropped sweater. Frayed hem.</t>
  </si>
  <si>
    <t>https://www.zara.com/us/en/basic-knit-sweater-p01509115.html</t>
  </si>
  <si>
    <t>324593343-043-2</t>
  </si>
  <si>
    <t>BASIC KNIT SWEATER</t>
  </si>
  <si>
    <t>Long sleeve round neck sweater. Side vents at hem. Rib trim.</t>
  </si>
  <si>
    <t>https://www.zara.com/us/en/v-neck-knit-sweater-p03519001.html</t>
  </si>
  <si>
    <t>319473750-809-1</t>
  </si>
  <si>
    <t>V-NECK KNIT SWEATER</t>
  </si>
  <si>
    <t>V-neck sweater with long sleeves. Side vents at hem.</t>
  </si>
  <si>
    <t>https://www.zara.com/us/en/foil-knit-crop-sweater-p06771001.html</t>
  </si>
  <si>
    <t>331789902-808-1</t>
  </si>
  <si>
    <t>FOIL KNIT CROP SWEATER</t>
  </si>
  <si>
    <t>Ribbed sweater with round neck and long sleeves. Ripped hem.</t>
  </si>
  <si>
    <t>https://www.zara.com/us/en/basic-100-wool-sweater-p02893106.html</t>
  </si>
  <si>
    <t>300250126-401-2</t>
  </si>
  <si>
    <t>BASIC 100% WOOL SWEATER</t>
  </si>
  <si>
    <t>Sweater made of 100% wool. Round neck and long sleeves. Ribbed trim.</t>
  </si>
  <si>
    <t>https://www.zara.com/us/en/colorblock-knit-crop-sweater-p05536008.html</t>
  </si>
  <si>
    <t>320052978-401-2</t>
  </si>
  <si>
    <t>COLORBLOCK KNIT CROP SWEATER</t>
  </si>
  <si>
    <t>Short sweater with round neck and long sleeves.</t>
  </si>
  <si>
    <t>https://www.zara.com/us/en/fine-knit-sweater-p09598045.html</t>
  </si>
  <si>
    <t>324722597-400-2</t>
  </si>
  <si>
    <t>FINE KNIT SWEATER</t>
  </si>
  <si>
    <t>V-neck sweater with long sleeves.</t>
  </si>
  <si>
    <t>https://www.zara.com/us/en/knit-open-back-pearly-sweater-p04331152.html</t>
  </si>
  <si>
    <t>328207551-500-2</t>
  </si>
  <si>
    <t>KNIT OPEN BACK PEARLY SWEATER</t>
  </si>
  <si>
    <t>High collar sweater with long sleeves. Open back detail and pearl appliquÃ©s. Back button closure.</t>
  </si>
  <si>
    <t>https://www.zara.com/us/en/knit-pearl-sweater-p04331165.html</t>
  </si>
  <si>
    <t>318131967-800-2</t>
  </si>
  <si>
    <t>KNIT PEARL SWEATER</t>
  </si>
  <si>
    <t>Round neck long sleeve sweater. Tonal pearl appliquÃ©s and open back with tie.</t>
  </si>
  <si>
    <t>https://www.zara.com/us/en/striped-textured-overshirt-p04179056.html</t>
  </si>
  <si>
    <t>324027512-064-2</t>
  </si>
  <si>
    <t>STRIPED TEXTURED OVERSHIRT</t>
  </si>
  <si>
    <t>Relaxed fit overshirt. Lapel collar and long sleeves with buttoned cuffs. Patch pockets at hip. Front button closure.</t>
  </si>
  <si>
    <t>https://www.zara.com/us/en/fleece-overshirt-p01248320.html</t>
  </si>
  <si>
    <t>311292623-712-97</t>
  </si>
  <si>
    <t>FLEECE OVERSHIRT</t>
  </si>
  <si>
    <t>Regular fit overshirt. Lapel collar and long sleeves with buttoned cuffs. Chest patch pockets. Front button closure.</t>
  </si>
  <si>
    <t>https://www.zara.com/us/en/plaid-overshirt-p04054659.html</t>
  </si>
  <si>
    <t>319162032-064-2</t>
  </si>
  <si>
    <t>Relaxed fit overshirt. Lapel collar and long sleeves with buttoned cuffs. Chest patch pockets. Front button closure.</t>
  </si>
  <si>
    <t>https://www.zara.com/us/en/baggy-fit-jeans-limited-edition-p03991480.html</t>
  </si>
  <si>
    <t>324908098-800-38</t>
  </si>
  <si>
    <t>BAGGY FIT JEANS LIMITED EDITION</t>
  </si>
  <si>
    <t>Baggy jeans. Five pockets. Washed effect. Front zip and button closure.</t>
  </si>
  <si>
    <t>jeans</t>
  </si>
  <si>
    <t>https://www.zara.com/us/en/baggy-belted-jeans-p04365401.html</t>
  </si>
  <si>
    <t>326540983-802-36</t>
  </si>
  <si>
    <t>BAGGY BELTED JEANS</t>
  </si>
  <si>
    <t>Baggy jeans. Self belt at waist. Front pockets and back patch pockets. Washed effect. Front button closure.</t>
  </si>
  <si>
    <t>https://www.zara.com/us/en/baggy-fit-jeans-p08062482.html</t>
  </si>
  <si>
    <t>315836999-406-34</t>
  </si>
  <si>
    <t>BAGGY FIT JEANS</t>
  </si>
  <si>
    <t>Baggy fit jeans. Five pockets. Washed effect. Front zip and button closure.</t>
  </si>
  <si>
    <t>https://www.zara.com/us/en/baggy-fit-jeans-p06688486.html</t>
  </si>
  <si>
    <t>315738965-802-34</t>
  </si>
  <si>
    <t>https://www.zara.com/us/en/flared-fit-cargo-jeans-p06688411.html</t>
  </si>
  <si>
    <t>311287318-400-38</t>
  </si>
  <si>
    <t>FLARED FIT CARGO JEANS</t>
  </si>
  <si>
    <t>Flared jeans. Patch pockets with flaps at hip. Patch pocket appliquÃ©s at legs. Washed effect. Adjustable hem with zippers. Front zipper and crossover button closure.</t>
  </si>
  <si>
    <t>https://www.zara.com/us/en/pleated-wide-fit-jeans-p05862417.html</t>
  </si>
  <si>
    <t>312393140-406-2</t>
  </si>
  <si>
    <t>PLEATED WIDE FIT JEANS</t>
  </si>
  <si>
    <t>Wide fit jeans. Adjustable interior elastic waistband with front pleats. Front pockets and back patch pockets. Washed effect. Front zip and button closure.</t>
  </si>
  <si>
    <t>https://www.zara.com/us/en/denim-shirt-p06085371.html</t>
  </si>
  <si>
    <t>275600408-400-2</t>
  </si>
  <si>
    <t>DENIM SHIRT</t>
  </si>
  <si>
    <t>Relaxed fit shirt made of denim fabric. Lapel collar and short sleeves. Chest patch pocket. Washed effect. Front button closure.</t>
  </si>
  <si>
    <t>https://www.zara.com/us/en/ripped-straight-fit-jeans-p03991404.html</t>
  </si>
  <si>
    <t>311303003-407-38</t>
  </si>
  <si>
    <t>RIPPED STRAIGHT FIT JEANS</t>
  </si>
  <si>
    <t>Straight fit jeans. Five pockets. Washed effect with rips at legs. Front button closure.</t>
  </si>
  <si>
    <t>https://www.zara.com/us/en/textured-sweater-p02893403.html</t>
  </si>
  <si>
    <t>311307250-710-3</t>
  </si>
  <si>
    <t>TEXTURED SWEATER</t>
  </si>
  <si>
    <t>Sweater made of 30% wool thread. Round neck and long sleeves. Rib trim.</t>
  </si>
  <si>
    <t>https://www.zara.com/us/en/purl-knit-sweater-p03332300.html</t>
  </si>
  <si>
    <t>267195405-500-3</t>
  </si>
  <si>
    <t>PURL KNIT SWEATER</t>
  </si>
  <si>
    <t>High collar sweater with front zipper. Long sleeves. Rib trim.</t>
  </si>
  <si>
    <t>https://www.zara.com/us/en/braided-color-block-sweater-p03284412.html</t>
  </si>
  <si>
    <t>317894313-707-3</t>
  </si>
  <si>
    <t>BRAIDED COLOR BLOCK SWEATER</t>
  </si>
  <si>
    <t>Round neck long sleeve full cut sweater. Rib trim.</t>
  </si>
  <si>
    <t>https://www.zara.com/us/en/contrast-interior-sweater-p04696400.html</t>
  </si>
  <si>
    <t>315075917-803-2</t>
  </si>
  <si>
    <t>CONTRAST INTERIOR SWEATER</t>
  </si>
  <si>
    <t>Cotton blend sweater. Round neck and long sleeves. Contrast interior. Rib trim.</t>
  </si>
  <si>
    <t>https://www.zara.com/us/en/abstract-jacquard-sweater-p03284407.html</t>
  </si>
  <si>
    <t>317889153-700-3</t>
  </si>
  <si>
    <t>ABSTRACT JACQUARD SWEATER</t>
  </si>
  <si>
    <t>Full cut cotton knit sweater. Round neck and long sleeves. Rib trim.</t>
  </si>
  <si>
    <t>https://www.zara.com/us/en/basic-slim-fit-t-shirt-p05584361.html</t>
  </si>
  <si>
    <t>315241755-800-2</t>
  </si>
  <si>
    <t>BASIC SLIM FIT T-SHIRT</t>
  </si>
  <si>
    <t>Slim fit shirt. Round neck and short sleeves.</t>
  </si>
  <si>
    <t>t-shirts</t>
  </si>
  <si>
    <t>https://www.zara.com/us/en/cropped-washed-t-shirt-p03665403.html</t>
  </si>
  <si>
    <t>320326523-707-2</t>
  </si>
  <si>
    <t>CROPPED WASHED T-SHIRT</t>
  </si>
  <si>
    <t>Cropped fit T-shirt with round neck and short sleeves. Contrasting front and back prints. Washed effect.</t>
  </si>
  <si>
    <t>https://www.zara.com/us/en/basic-heavyweight-t-shirt-p01887450.html</t>
  </si>
  <si>
    <t>316715458-250-2</t>
  </si>
  <si>
    <t>BASIC HEAVYWEIGHT T-SHIRT</t>
  </si>
  <si>
    <t>Roomy T-shirt made of dense cotton. Round neck and short sleeves.</t>
  </si>
  <si>
    <t>https://www.zara.com/us/en/heart-print-t-shirt-p06224419.html</t>
  </si>
  <si>
    <t>322677489-800-2</t>
  </si>
  <si>
    <t>HEART PRINT T-SHIRT</t>
  </si>
  <si>
    <t>Boxy fit T-shirt with round neck and short sleeves. Contrasting prints at shoulder and back.</t>
  </si>
  <si>
    <t>https://www.zara.com/us/en/text-t-shirt-p00962458.html</t>
  </si>
  <si>
    <t>330077856-251-2</t>
  </si>
  <si>
    <t>TEXT T-SHIRT</t>
  </si>
  <si>
    <t>Boxy fit T-shirt. Round neck and short sleeves. Velvet effect print with contrast text.</t>
  </si>
  <si>
    <t>https://www.zara.com/us/en/printed-cropped-fit-shirt-limited-edition-p06224490.html</t>
  </si>
  <si>
    <t>328232452-898-2</t>
  </si>
  <si>
    <t>PRINTED CROPPED FIT SHIRT LIMITED EDITION</t>
  </si>
  <si>
    <t>Cropped shirt. Round neckline. Contrasting front print. Washed effect. Irregular trim.</t>
  </si>
  <si>
    <t>https://www.zara.com/us/en/ribbed-knit-t-shirt-p03332431.html</t>
  </si>
  <si>
    <t>317230892-251-3</t>
  </si>
  <si>
    <t>RIBBED KNIT T-SHIRT</t>
  </si>
  <si>
    <t>Cotton knit tank top. Round neck with front button closure. Rib trim.</t>
  </si>
  <si>
    <t>https://www.zara.com/us/en/oversize-fit-t-shirt-p04092405.html</t>
  </si>
  <si>
    <t>330478123-712-2</t>
  </si>
  <si>
    <t>OVERSIZE FIT T-SHIRT</t>
  </si>
  <si>
    <t>Oversized T-shirt. Round neck and short sleeves.</t>
  </si>
  <si>
    <t>https://www.zara.com/us/en/basic-medium-weight-t-shirt-p01887470.html</t>
  </si>
  <si>
    <t>318255748-250-2</t>
  </si>
  <si>
    <t>BASIC MEDIUM WEIGHT T-SHIRT</t>
  </si>
  <si>
    <t>Regular fit T-shirt. Round neck and short sleeves.</t>
  </si>
  <si>
    <t>https://www.zara.com/us/en/structured-text-t-shirt-p00761434.html</t>
  </si>
  <si>
    <t>319334069-712-2</t>
  </si>
  <si>
    <t>STRUCTURED TEXT T-SHIRT</t>
  </si>
  <si>
    <t>Full cut T-shirt made of mesh textured fabric. Contrast rib V-neckline and short sleeves. Front contrast printed text.</t>
  </si>
  <si>
    <t>https://www.zara.com/us/en/abstract-print-t-shirt-p06224403.html</t>
  </si>
  <si>
    <t>311307261-712-2</t>
  </si>
  <si>
    <t>ABSTRACT PRINT T-SHIRT</t>
  </si>
  <si>
    <t>Full cut T-shirt with crew neck and short sleeves. Contrasting front and back prints. Washed effect.</t>
  </si>
  <si>
    <t>https://www.zara.com/us/en/raised-text-t-shirt-limited-edition-p00977490.html</t>
  </si>
  <si>
    <t>323216369-922-2</t>
  </si>
  <si>
    <t>RAISED TEXT T-SHIRT LIMITED EDITION</t>
  </si>
  <si>
    <t>Full cut T-shirt with round neck and short sleeves. Front tonal raised text. Washed effect.</t>
  </si>
  <si>
    <t>https://www.zara.com/us/en/ribbed-knit-t-shirt-p04805409.html</t>
  </si>
  <si>
    <t>320111404-428-2</t>
  </si>
  <si>
    <t>Cropped fit knit shirt. Round neck and long sleeves. Washed effect.</t>
  </si>
  <si>
    <t>https://www.zara.com/us/en/semi-sheer-knit-shirt-limited-edition-p04805424.html</t>
  </si>
  <si>
    <t>328232445-800-2</t>
  </si>
  <si>
    <t>SEMI-SHEER KNIT SHIRT LIMITED EDITION</t>
  </si>
  <si>
    <t>Slim fit shirt made of wrinkle effect fabric. Round neck and long sleeves.</t>
  </si>
  <si>
    <t>https://www.zara.com/us/en/viscose-blend-knit-t-shirt-p00693401.html</t>
  </si>
  <si>
    <t>311297550-251-2</t>
  </si>
  <si>
    <t>VISCOSE BLEND KNIT T-SHIRT</t>
  </si>
  <si>
    <t>Knit shirt in viscose blend fabric. Mock neck and short sleeves. Rib trim.</t>
  </si>
  <si>
    <t>https://www.zara.com/us/en/striped-jacquard-t-shirt-p05372400.html</t>
  </si>
  <si>
    <t>322909502-819-2</t>
  </si>
  <si>
    <t>STRIPED JACQUARD T-SHIRT</t>
  </si>
  <si>
    <t>Relaxed fit T-shirt with round neck and short sleeves.</t>
  </si>
  <si>
    <t>https://www.zara.com/us/en/abstract-print-knit-t-shirt-p04805401.html</t>
  </si>
  <si>
    <t>320071210-802-2</t>
  </si>
  <si>
    <t>ABSTRACT PRINT KNIT T-SHIRT</t>
  </si>
  <si>
    <t>Cotton knit T-shirt. Round neck and short sleeves.</t>
  </si>
  <si>
    <t>https://www.zara.com/us/en/structured-text-t-shirt-p00761435.html</t>
  </si>
  <si>
    <t>319334070-401-2</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</si>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</sst>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Aptos Narrow"/>
      <scheme val="minor"/>
    </font>
    <font>
      <sz val="11"/>
      <color theme="1"/>
      <name val="Aptos Narrow"/>
      <scheme val="minor"/>
    </font>
    <font>
      <sz val="11"/>
      <color theme="1"/>
      <name val="Arial"/>
    </font>
    <font>
      <sz val="11"/>
      <color theme="1"/>
      <name val="Aptos Narrow"/>
    </font>
    <font>
      <u/>
      <sz val="11"/>
      <color rgb="FF0000FF"/>
      <name val="Arial"/>
    </font>
    <font>
      <i/>
      <sz val="11"/>
      <color theme="1"/>
      <name val="Aptos Narrow"/>
    </font>
    <font>
      <sz val="11"/>
      <name val="Aptos Narrow"/>
    </font>
  </fonts>
  <fills count="2">
    <fill>
      <patternFill patternType="none"/>
    </fill>
    <fill>
      <patternFill patternType="gray125"/>
    </fill>
  </fills>
  <borders count="3">
    <border>
      <left/>
      <right/>
      <top/>
      <bottom/>
      <diagonal/>
    </border>
    <border>
      <left/>
      <right/>
      <top style="medium">
        <color rgb="FF000000"/>
      </top>
      <bottom style="thin">
        <color rgb="FF000000"/>
      </bottom>
      <diagonal/>
    </border>
    <border>
      <left/>
      <right/>
      <top/>
      <bottom style="medium">
        <color rgb="FF000000"/>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22" fontId="3" fillId="0" borderId="0" xfId="0" applyNumberFormat="1" applyFont="1"/>
    <xf numFmtId="0" fontId="3" fillId="0" borderId="0" xfId="0" applyFont="1"/>
    <xf numFmtId="0" fontId="4" fillId="0" borderId="0" xfId="0" applyFont="1"/>
    <xf numFmtId="0" fontId="5" fillId="0" borderId="1" xfId="0" applyFont="1" applyBorder="1" applyAlignment="1">
      <alignment horizontal="center"/>
    </xf>
    <xf numFmtId="0" fontId="3" fillId="0" borderId="2" xfId="0" applyFont="1" applyBorder="1"/>
    <xf numFmtId="0" fontId="5" fillId="0" borderId="1" xfId="0" applyFont="1" applyBorder="1" applyAlignment="1">
      <alignment horizontal="center"/>
    </xf>
    <xf numFmtId="0" fontId="6"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zara.com/us/en/contrasting-collar-jacket-p0698733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0"/>
  <sheetViews>
    <sheetView tabSelected="1" workbookViewId="0"/>
  </sheetViews>
  <sheetFormatPr defaultColWidth="12.5703125" defaultRowHeight="15" customHeight="1"/>
  <cols>
    <col min="1" max="1" width="10.140625" customWidth="1"/>
    <col min="2" max="2" width="14.85546875" customWidth="1"/>
    <col min="3" max="3" width="9.42578125" customWidth="1"/>
    <col min="4" max="4" width="15.7109375" customWidth="1"/>
    <col min="5" max="5" width="8.5703125" customWidth="1"/>
    <col min="6" max="6" width="12.7109375" customWidth="1"/>
    <col min="7" max="7" width="5.5703125" customWidth="1"/>
    <col min="8" max="8" width="73.140625" customWidth="1"/>
    <col min="9" max="9" width="16.42578125" customWidth="1"/>
    <col min="10" max="10" width="48.85546875" customWidth="1"/>
    <col min="11" max="11" width="248" customWidth="1"/>
    <col min="12" max="12" width="5.5703125" customWidth="1"/>
    <col min="13" max="13" width="8" customWidth="1"/>
    <col min="14" max="14" width="11.28515625" customWidth="1"/>
    <col min="15" max="15" width="8.42578125" customWidth="1"/>
    <col min="16" max="16" width="8.28515625" customWidth="1"/>
    <col min="17" max="26" width="8.5703125" customWidth="1"/>
  </cols>
  <sheetData>
    <row r="1" spans="1:16"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14.25" customHeight="1">
      <c r="A2" s="2">
        <v>185102</v>
      </c>
      <c r="B2" s="1" t="s">
        <v>16</v>
      </c>
      <c r="C2" s="1" t="s">
        <v>17</v>
      </c>
      <c r="D2" s="1" t="s">
        <v>18</v>
      </c>
      <c r="E2" s="1" t="s">
        <v>17</v>
      </c>
      <c r="F2" s="1">
        <v>2823</v>
      </c>
      <c r="G2" s="1" t="s">
        <v>19</v>
      </c>
      <c r="H2" s="1" t="s">
        <v>20</v>
      </c>
      <c r="I2" s="1" t="s">
        <v>21</v>
      </c>
      <c r="J2" s="1" t="s">
        <v>22</v>
      </c>
      <c r="K2" s="1" t="s">
        <v>23</v>
      </c>
      <c r="L2" s="1">
        <v>19.989999999999998</v>
      </c>
      <c r="M2" s="1" t="s">
        <v>24</v>
      </c>
      <c r="N2" s="3">
        <v>45341.368125000001</v>
      </c>
      <c r="O2" s="1" t="s">
        <v>25</v>
      </c>
      <c r="P2" s="1" t="s">
        <v>26</v>
      </c>
    </row>
    <row r="3" spans="1:16" ht="14.25" customHeight="1">
      <c r="A3" s="1">
        <v>188771</v>
      </c>
      <c r="B3" s="1" t="s">
        <v>16</v>
      </c>
      <c r="C3" s="1" t="s">
        <v>17</v>
      </c>
      <c r="D3" s="1" t="s">
        <v>18</v>
      </c>
      <c r="E3" s="1" t="s">
        <v>17</v>
      </c>
      <c r="F3" s="1">
        <v>654</v>
      </c>
      <c r="G3" s="1" t="s">
        <v>19</v>
      </c>
      <c r="H3" s="1" t="s">
        <v>27</v>
      </c>
      <c r="I3" s="1" t="s">
        <v>28</v>
      </c>
      <c r="J3" s="1" t="s">
        <v>29</v>
      </c>
      <c r="K3" s="1" t="s">
        <v>30</v>
      </c>
      <c r="L3" s="1">
        <v>169</v>
      </c>
      <c r="M3" s="1" t="s">
        <v>24</v>
      </c>
      <c r="N3" s="3">
        <v>45341.368136574078</v>
      </c>
      <c r="O3" s="1" t="s">
        <v>25</v>
      </c>
      <c r="P3" s="1" t="s">
        <v>26</v>
      </c>
    </row>
    <row r="4" spans="1:16" ht="14.25" customHeight="1">
      <c r="A4" s="1">
        <v>180176</v>
      </c>
      <c r="B4" s="1" t="s">
        <v>31</v>
      </c>
      <c r="C4" s="1" t="s">
        <v>32</v>
      </c>
      <c r="D4" s="1" t="s">
        <v>18</v>
      </c>
      <c r="E4" s="1" t="s">
        <v>32</v>
      </c>
      <c r="F4" s="1">
        <v>2220</v>
      </c>
      <c r="G4" s="1" t="s">
        <v>19</v>
      </c>
      <c r="H4" s="1" t="s">
        <v>33</v>
      </c>
      <c r="I4" s="1" t="s">
        <v>34</v>
      </c>
      <c r="J4" s="1" t="s">
        <v>35</v>
      </c>
      <c r="K4" s="1" t="s">
        <v>36</v>
      </c>
      <c r="L4" s="4">
        <v>129</v>
      </c>
      <c r="M4" s="1" t="s">
        <v>24</v>
      </c>
      <c r="N4" s="3">
        <v>45341.368136574078</v>
      </c>
      <c r="O4" s="1" t="s">
        <v>25</v>
      </c>
      <c r="P4" s="1" t="s">
        <v>26</v>
      </c>
    </row>
    <row r="5" spans="1:16" ht="14.25" customHeight="1">
      <c r="A5" s="1">
        <v>112917</v>
      </c>
      <c r="B5" s="1" t="s">
        <v>16</v>
      </c>
      <c r="C5" s="1" t="s">
        <v>32</v>
      </c>
      <c r="D5" s="1" t="s">
        <v>18</v>
      </c>
      <c r="E5" s="1" t="s">
        <v>32</v>
      </c>
      <c r="F5" s="1">
        <v>1568</v>
      </c>
      <c r="G5" s="1" t="s">
        <v>19</v>
      </c>
      <c r="H5" s="1" t="s">
        <v>37</v>
      </c>
      <c r="I5" s="1" t="s">
        <v>38</v>
      </c>
      <c r="J5" s="1" t="s">
        <v>39</v>
      </c>
      <c r="K5" s="1" t="s">
        <v>40</v>
      </c>
      <c r="L5" s="1">
        <v>129</v>
      </c>
      <c r="M5" s="1" t="s">
        <v>24</v>
      </c>
      <c r="N5" s="3">
        <v>45341.368148148147</v>
      </c>
      <c r="O5" s="1" t="s">
        <v>25</v>
      </c>
      <c r="P5" s="1" t="s">
        <v>26</v>
      </c>
    </row>
    <row r="6" spans="1:16" ht="14.25" customHeight="1">
      <c r="A6" s="1">
        <v>192936</v>
      </c>
      <c r="B6" s="1" t="s">
        <v>31</v>
      </c>
      <c r="C6" s="1" t="s">
        <v>17</v>
      </c>
      <c r="D6" s="1" t="s">
        <v>18</v>
      </c>
      <c r="E6" s="1" t="s">
        <v>32</v>
      </c>
      <c r="F6" s="1">
        <v>2942</v>
      </c>
      <c r="G6" s="1" t="s">
        <v>19</v>
      </c>
      <c r="H6" s="1" t="s">
        <v>41</v>
      </c>
      <c r="I6" s="1" t="s">
        <v>42</v>
      </c>
      <c r="J6" s="1" t="s">
        <v>43</v>
      </c>
      <c r="K6" s="1" t="s">
        <v>44</v>
      </c>
      <c r="L6" s="1">
        <v>139</v>
      </c>
      <c r="M6" s="1" t="s">
        <v>24</v>
      </c>
      <c r="N6" s="3">
        <v>45341.368148148147</v>
      </c>
      <c r="O6" s="1" t="s">
        <v>25</v>
      </c>
      <c r="P6" s="1" t="s">
        <v>26</v>
      </c>
    </row>
    <row r="7" spans="1:16" ht="14.25" customHeight="1">
      <c r="A7" s="1">
        <v>117590</v>
      </c>
      <c r="B7" s="1" t="s">
        <v>31</v>
      </c>
      <c r="C7" s="1" t="s">
        <v>17</v>
      </c>
      <c r="D7" s="2" t="s">
        <v>18</v>
      </c>
      <c r="E7" s="1" t="s">
        <v>17</v>
      </c>
      <c r="F7" s="1">
        <v>2968</v>
      </c>
      <c r="G7" s="1" t="s">
        <v>19</v>
      </c>
      <c r="H7" s="5" t="s">
        <v>45</v>
      </c>
      <c r="I7" s="1" t="s">
        <v>46</v>
      </c>
      <c r="J7" s="1" t="s">
        <v>47</v>
      </c>
      <c r="K7" s="1" t="s">
        <v>48</v>
      </c>
      <c r="L7" s="1">
        <v>79.900000000000006</v>
      </c>
      <c r="M7" s="1" t="s">
        <v>24</v>
      </c>
      <c r="N7" s="3">
        <v>45341.368159722224</v>
      </c>
      <c r="O7" s="1" t="s">
        <v>25</v>
      </c>
      <c r="P7" s="1" t="s">
        <v>26</v>
      </c>
    </row>
    <row r="8" spans="1:16" ht="14.25" customHeight="1">
      <c r="A8" s="1">
        <v>189118</v>
      </c>
      <c r="B8" s="1" t="s">
        <v>49</v>
      </c>
      <c r="C8" s="1" t="s">
        <v>32</v>
      </c>
      <c r="D8" s="1" t="s">
        <v>18</v>
      </c>
      <c r="E8" s="1" t="s">
        <v>32</v>
      </c>
      <c r="F8" s="1">
        <v>952</v>
      </c>
      <c r="G8" s="1" t="s">
        <v>19</v>
      </c>
      <c r="H8" s="1" t="s">
        <v>50</v>
      </c>
      <c r="I8" s="1" t="s">
        <v>51</v>
      </c>
      <c r="J8" s="1" t="s">
        <v>52</v>
      </c>
      <c r="K8" s="1" t="s">
        <v>53</v>
      </c>
      <c r="L8" s="1">
        <v>69.989999999999995</v>
      </c>
      <c r="M8" s="1" t="s">
        <v>24</v>
      </c>
      <c r="N8" s="3">
        <v>45341.368171296293</v>
      </c>
      <c r="O8" s="1" t="s">
        <v>25</v>
      </c>
      <c r="P8" s="1" t="s">
        <v>26</v>
      </c>
    </row>
    <row r="9" spans="1:16" ht="14.25" customHeight="1">
      <c r="A9" s="1">
        <v>182157</v>
      </c>
      <c r="B9" s="1" t="s">
        <v>16</v>
      </c>
      <c r="C9" s="1" t="s">
        <v>17</v>
      </c>
      <c r="D9" s="1" t="s">
        <v>18</v>
      </c>
      <c r="E9" s="1" t="s">
        <v>17</v>
      </c>
      <c r="F9" s="1">
        <v>2421</v>
      </c>
      <c r="G9" s="1" t="s">
        <v>19</v>
      </c>
      <c r="H9" s="1" t="s">
        <v>54</v>
      </c>
      <c r="I9" s="1" t="s">
        <v>55</v>
      </c>
      <c r="J9" s="1" t="s">
        <v>56</v>
      </c>
      <c r="K9" s="1" t="s">
        <v>57</v>
      </c>
      <c r="L9" s="1">
        <v>159</v>
      </c>
      <c r="M9" s="1" t="s">
        <v>24</v>
      </c>
      <c r="N9" s="3">
        <v>45341.368171296293</v>
      </c>
      <c r="O9" s="1" t="s">
        <v>25</v>
      </c>
      <c r="P9" s="1" t="s">
        <v>26</v>
      </c>
    </row>
    <row r="10" spans="1:16" ht="14.25" customHeight="1">
      <c r="A10" s="1">
        <v>141861</v>
      </c>
      <c r="B10" s="1" t="s">
        <v>16</v>
      </c>
      <c r="C10" s="1" t="s">
        <v>32</v>
      </c>
      <c r="D10" s="1" t="s">
        <v>18</v>
      </c>
      <c r="E10" s="1" t="s">
        <v>32</v>
      </c>
      <c r="F10" s="1">
        <v>1916</v>
      </c>
      <c r="G10" s="1" t="s">
        <v>19</v>
      </c>
      <c r="H10" s="1" t="s">
        <v>58</v>
      </c>
      <c r="I10" s="1" t="s">
        <v>59</v>
      </c>
      <c r="J10" s="1" t="s">
        <v>60</v>
      </c>
      <c r="K10" s="2" t="s">
        <v>61</v>
      </c>
      <c r="L10" s="1">
        <v>169</v>
      </c>
      <c r="M10" s="1" t="s">
        <v>24</v>
      </c>
      <c r="N10" s="3">
        <v>45341.36818287037</v>
      </c>
      <c r="O10" s="1" t="s">
        <v>25</v>
      </c>
      <c r="P10" s="1" t="s">
        <v>26</v>
      </c>
    </row>
    <row r="11" spans="1:16" ht="14.25" customHeight="1">
      <c r="A11" s="1">
        <v>137121</v>
      </c>
      <c r="B11" s="1" t="s">
        <v>16</v>
      </c>
      <c r="C11" s="1" t="s">
        <v>17</v>
      </c>
      <c r="D11" s="1" t="s">
        <v>18</v>
      </c>
      <c r="E11" s="1" t="s">
        <v>32</v>
      </c>
      <c r="F11" s="1">
        <v>656</v>
      </c>
      <c r="G11" s="1" t="s">
        <v>19</v>
      </c>
      <c r="H11" s="1" t="s">
        <v>62</v>
      </c>
      <c r="I11" s="1" t="s">
        <v>63</v>
      </c>
      <c r="J11" s="1" t="s">
        <v>64</v>
      </c>
      <c r="K11" s="1" t="s">
        <v>65</v>
      </c>
      <c r="L11" s="1">
        <f>169</f>
        <v>169</v>
      </c>
      <c r="M11" s="1" t="s">
        <v>24</v>
      </c>
      <c r="N11" s="3">
        <v>45341.36818287037</v>
      </c>
      <c r="O11" s="1" t="s">
        <v>25</v>
      </c>
      <c r="P11" s="1" t="s">
        <v>26</v>
      </c>
    </row>
    <row r="12" spans="1:16" ht="14.25" customHeight="1">
      <c r="A12" s="1">
        <v>113143</v>
      </c>
      <c r="B12" s="1" t="s">
        <v>16</v>
      </c>
      <c r="C12" s="1" t="s">
        <v>32</v>
      </c>
      <c r="D12" s="1" t="s">
        <v>18</v>
      </c>
      <c r="E12" s="1" t="s">
        <v>32</v>
      </c>
      <c r="F12" s="1">
        <v>2663</v>
      </c>
      <c r="G12" s="1" t="s">
        <v>19</v>
      </c>
      <c r="H12" s="1" t="s">
        <v>66</v>
      </c>
      <c r="I12" s="1" t="s">
        <v>67</v>
      </c>
      <c r="J12" s="1" t="s">
        <v>68</v>
      </c>
      <c r="K12" s="1" t="s">
        <v>69</v>
      </c>
      <c r="L12" s="1">
        <f>129</f>
        <v>129</v>
      </c>
      <c r="M12" s="1" t="s">
        <v>24</v>
      </c>
      <c r="N12" s="3">
        <v>45341.368194444447</v>
      </c>
      <c r="O12" s="1" t="s">
        <v>25</v>
      </c>
      <c r="P12" s="1" t="s">
        <v>26</v>
      </c>
    </row>
    <row r="13" spans="1:16" ht="14.25" customHeight="1">
      <c r="A13" s="1">
        <v>140028</v>
      </c>
      <c r="B13" s="1" t="s">
        <v>16</v>
      </c>
      <c r="C13" s="1" t="s">
        <v>32</v>
      </c>
      <c r="D13" s="1" t="s">
        <v>18</v>
      </c>
      <c r="E13" s="1" t="s">
        <v>32</v>
      </c>
      <c r="F13" s="1">
        <v>1260</v>
      </c>
      <c r="G13" s="1" t="s">
        <v>19</v>
      </c>
      <c r="H13" s="1" t="s">
        <v>70</v>
      </c>
      <c r="I13" s="1" t="s">
        <v>71</v>
      </c>
      <c r="J13" s="1" t="s">
        <v>72</v>
      </c>
      <c r="K13" s="1" t="s">
        <v>73</v>
      </c>
      <c r="L13" s="1">
        <f>159</f>
        <v>159</v>
      </c>
      <c r="M13" s="1" t="s">
        <v>24</v>
      </c>
      <c r="N13" s="3">
        <v>45341.368206018517</v>
      </c>
      <c r="O13" s="1" t="s">
        <v>25</v>
      </c>
      <c r="P13" s="1" t="s">
        <v>26</v>
      </c>
    </row>
    <row r="14" spans="1:16" ht="14.25" customHeight="1">
      <c r="A14" s="1">
        <v>134693</v>
      </c>
      <c r="B14" s="1" t="s">
        <v>16</v>
      </c>
      <c r="C14" s="1" t="s">
        <v>32</v>
      </c>
      <c r="D14" s="1" t="s">
        <v>18</v>
      </c>
      <c r="E14" s="1" t="s">
        <v>17</v>
      </c>
      <c r="F14" s="1">
        <v>2124</v>
      </c>
      <c r="G14" s="1" t="s">
        <v>19</v>
      </c>
      <c r="H14" s="1" t="s">
        <v>74</v>
      </c>
      <c r="I14" s="1" t="s">
        <v>75</v>
      </c>
      <c r="J14" s="1" t="s">
        <v>76</v>
      </c>
      <c r="K14" s="1" t="s">
        <v>77</v>
      </c>
      <c r="L14" s="1">
        <v>169</v>
      </c>
      <c r="M14" s="1" t="s">
        <v>24</v>
      </c>
      <c r="N14" s="3">
        <v>45341.368206018517</v>
      </c>
      <c r="O14" s="1" t="s">
        <v>25</v>
      </c>
      <c r="P14" s="1" t="s">
        <v>26</v>
      </c>
    </row>
    <row r="15" spans="1:16" ht="14.25" customHeight="1">
      <c r="A15" s="1">
        <v>151396</v>
      </c>
      <c r="B15" s="1" t="s">
        <v>49</v>
      </c>
      <c r="C15" s="1" t="s">
        <v>32</v>
      </c>
      <c r="D15" s="1" t="s">
        <v>18</v>
      </c>
      <c r="E15" s="1" t="s">
        <v>32</v>
      </c>
      <c r="F15" s="1">
        <v>729</v>
      </c>
      <c r="G15" s="1" t="s">
        <v>19</v>
      </c>
      <c r="H15" s="1" t="s">
        <v>78</v>
      </c>
      <c r="I15" s="1" t="s">
        <v>79</v>
      </c>
      <c r="J15" s="1" t="s">
        <v>80</v>
      </c>
      <c r="K15" s="1" t="s">
        <v>81</v>
      </c>
      <c r="L15" s="1">
        <v>439</v>
      </c>
      <c r="M15" s="1" t="s">
        <v>24</v>
      </c>
      <c r="N15" s="3">
        <v>45341.368217592593</v>
      </c>
      <c r="O15" s="1" t="s">
        <v>25</v>
      </c>
      <c r="P15" s="1" t="s">
        <v>26</v>
      </c>
    </row>
    <row r="16" spans="1:16" ht="14.25" customHeight="1">
      <c r="A16" s="1">
        <v>132889</v>
      </c>
      <c r="B16" s="1" t="s">
        <v>16</v>
      </c>
      <c r="C16" s="1" t="s">
        <v>32</v>
      </c>
      <c r="D16" s="1" t="s">
        <v>18</v>
      </c>
      <c r="E16" s="1" t="s">
        <v>32</v>
      </c>
      <c r="F16" s="1">
        <v>2265</v>
      </c>
      <c r="G16" s="1" t="s">
        <v>19</v>
      </c>
      <c r="H16" s="1" t="s">
        <v>82</v>
      </c>
      <c r="I16" s="1" t="s">
        <v>83</v>
      </c>
      <c r="J16" s="1" t="s">
        <v>84</v>
      </c>
      <c r="K16" s="1" t="s">
        <v>85</v>
      </c>
      <c r="L16" s="1">
        <v>99.9</v>
      </c>
      <c r="M16" s="1" t="s">
        <v>24</v>
      </c>
      <c r="N16" s="3">
        <v>45341.368217592593</v>
      </c>
      <c r="O16" s="1" t="s">
        <v>25</v>
      </c>
      <c r="P16" s="1" t="s">
        <v>26</v>
      </c>
    </row>
    <row r="17" spans="1:16" ht="14.25" customHeight="1">
      <c r="A17" s="1">
        <v>152174</v>
      </c>
      <c r="B17" s="1" t="s">
        <v>31</v>
      </c>
      <c r="C17" s="1" t="s">
        <v>17</v>
      </c>
      <c r="D17" s="1" t="s">
        <v>18</v>
      </c>
      <c r="E17" s="1" t="s">
        <v>17</v>
      </c>
      <c r="F17" s="1">
        <v>2226</v>
      </c>
      <c r="G17" s="1" t="s">
        <v>19</v>
      </c>
      <c r="H17" s="1" t="s">
        <v>86</v>
      </c>
      <c r="I17" s="1" t="s">
        <v>87</v>
      </c>
      <c r="J17" s="1" t="s">
        <v>88</v>
      </c>
      <c r="K17" s="1" t="s">
        <v>89</v>
      </c>
      <c r="L17" s="1">
        <v>99.9</v>
      </c>
      <c r="M17" s="1" t="s">
        <v>24</v>
      </c>
      <c r="N17" s="3">
        <v>45341.36822916667</v>
      </c>
      <c r="O17" s="1" t="s">
        <v>25</v>
      </c>
      <c r="P17" s="1" t="s">
        <v>26</v>
      </c>
    </row>
    <row r="18" spans="1:16" ht="14.25" customHeight="1">
      <c r="A18" s="1">
        <v>129906</v>
      </c>
      <c r="B18" s="1" t="s">
        <v>16</v>
      </c>
      <c r="C18" s="1" t="s">
        <v>17</v>
      </c>
      <c r="D18" s="1" t="s">
        <v>18</v>
      </c>
      <c r="E18" s="1" t="s">
        <v>17</v>
      </c>
      <c r="F18" s="1">
        <v>2089</v>
      </c>
      <c r="G18" s="1" t="s">
        <v>19</v>
      </c>
      <c r="H18" s="1" t="s">
        <v>90</v>
      </c>
      <c r="I18" s="1" t="s">
        <v>91</v>
      </c>
      <c r="J18" s="1" t="s">
        <v>92</v>
      </c>
      <c r="K18" s="1" t="s">
        <v>93</v>
      </c>
      <c r="L18" s="1">
        <v>69.900000000000006</v>
      </c>
      <c r="M18" s="1" t="s">
        <v>24</v>
      </c>
      <c r="N18" s="3">
        <v>45341.36822916667</v>
      </c>
      <c r="O18" s="1" t="s">
        <v>25</v>
      </c>
      <c r="P18" s="1" t="s">
        <v>26</v>
      </c>
    </row>
    <row r="19" spans="1:16" ht="14.25" customHeight="1">
      <c r="A19" s="1">
        <v>195879</v>
      </c>
      <c r="B19" s="1" t="s">
        <v>49</v>
      </c>
      <c r="C19" s="1" t="s">
        <v>32</v>
      </c>
      <c r="D19" s="1" t="s">
        <v>18</v>
      </c>
      <c r="E19" s="1" t="s">
        <v>32</v>
      </c>
      <c r="F19" s="1">
        <v>2339</v>
      </c>
      <c r="G19" s="1" t="s">
        <v>19</v>
      </c>
      <c r="H19" s="1" t="s">
        <v>94</v>
      </c>
      <c r="I19" s="1" t="s">
        <v>95</v>
      </c>
      <c r="J19" s="1" t="s">
        <v>96</v>
      </c>
      <c r="K19" s="1" t="s">
        <v>97</v>
      </c>
      <c r="L19" s="1">
        <v>129</v>
      </c>
      <c r="M19" s="1" t="s">
        <v>24</v>
      </c>
      <c r="N19" s="3">
        <v>45341.36824074074</v>
      </c>
      <c r="O19" s="1" t="s">
        <v>25</v>
      </c>
      <c r="P19" s="1" t="s">
        <v>26</v>
      </c>
    </row>
    <row r="20" spans="1:16" ht="14.25" customHeight="1">
      <c r="A20" s="1">
        <v>155050</v>
      </c>
      <c r="B20" s="1" t="s">
        <v>16</v>
      </c>
      <c r="C20" s="1" t="s">
        <v>17</v>
      </c>
      <c r="D20" s="1" t="s">
        <v>18</v>
      </c>
      <c r="E20" s="1" t="s">
        <v>32</v>
      </c>
      <c r="F20" s="1">
        <v>2321</v>
      </c>
      <c r="G20" s="1" t="s">
        <v>19</v>
      </c>
      <c r="H20" s="1" t="s">
        <v>98</v>
      </c>
      <c r="I20" s="1" t="s">
        <v>99</v>
      </c>
      <c r="J20" s="1" t="s">
        <v>100</v>
      </c>
      <c r="K20" s="1" t="s">
        <v>101</v>
      </c>
      <c r="L20" s="1">
        <v>129</v>
      </c>
      <c r="M20" s="1" t="s">
        <v>24</v>
      </c>
      <c r="N20" s="3">
        <v>45341.368252314816</v>
      </c>
      <c r="O20" s="1" t="s">
        <v>25</v>
      </c>
      <c r="P20" s="1" t="s">
        <v>26</v>
      </c>
    </row>
    <row r="21" spans="1:16" ht="14.25" customHeight="1">
      <c r="A21" s="1">
        <v>194410</v>
      </c>
      <c r="B21" s="1" t="s">
        <v>31</v>
      </c>
      <c r="C21" s="1" t="s">
        <v>17</v>
      </c>
      <c r="D21" s="1" t="s">
        <v>18</v>
      </c>
      <c r="E21" s="1" t="s">
        <v>17</v>
      </c>
      <c r="F21" s="1">
        <v>669</v>
      </c>
      <c r="G21" s="1" t="s">
        <v>19</v>
      </c>
      <c r="H21" s="1" t="s">
        <v>102</v>
      </c>
      <c r="I21" s="1" t="s">
        <v>103</v>
      </c>
      <c r="J21" s="1" t="s">
        <v>56</v>
      </c>
      <c r="K21" s="1" t="s">
        <v>104</v>
      </c>
      <c r="L21" s="1">
        <v>159</v>
      </c>
      <c r="M21" s="1" t="s">
        <v>24</v>
      </c>
      <c r="N21" s="3">
        <v>45341.368252314816</v>
      </c>
      <c r="O21" s="1" t="s">
        <v>25</v>
      </c>
      <c r="P21" s="1" t="s">
        <v>26</v>
      </c>
    </row>
    <row r="22" spans="1:16" ht="14.25" customHeight="1">
      <c r="A22" s="1">
        <v>141904</v>
      </c>
      <c r="B22" s="1" t="s">
        <v>31</v>
      </c>
      <c r="C22" s="1" t="s">
        <v>32</v>
      </c>
      <c r="D22" s="1" t="s">
        <v>18</v>
      </c>
      <c r="E22" s="1" t="s">
        <v>32</v>
      </c>
      <c r="F22" s="1">
        <v>1712</v>
      </c>
      <c r="G22" s="1" t="s">
        <v>19</v>
      </c>
      <c r="H22" s="1" t="s">
        <v>105</v>
      </c>
      <c r="I22" s="1" t="s">
        <v>106</v>
      </c>
      <c r="J22" s="1" t="s">
        <v>107</v>
      </c>
      <c r="K22" s="1" t="s">
        <v>108</v>
      </c>
      <c r="L22" s="1">
        <v>109</v>
      </c>
      <c r="M22" s="1" t="s">
        <v>24</v>
      </c>
      <c r="N22" s="3">
        <v>45341.368263888886</v>
      </c>
      <c r="O22" s="1" t="s">
        <v>25</v>
      </c>
      <c r="P22" s="1" t="s">
        <v>26</v>
      </c>
    </row>
    <row r="23" spans="1:16" ht="14.25" customHeight="1">
      <c r="A23" s="1">
        <v>124981</v>
      </c>
      <c r="B23" s="1" t="s">
        <v>49</v>
      </c>
      <c r="C23" s="1" t="s">
        <v>17</v>
      </c>
      <c r="D23" s="1" t="s">
        <v>18</v>
      </c>
      <c r="E23" s="1" t="s">
        <v>32</v>
      </c>
      <c r="F23" s="1">
        <v>1832</v>
      </c>
      <c r="G23" s="1" t="s">
        <v>19</v>
      </c>
      <c r="H23" s="1" t="s">
        <v>109</v>
      </c>
      <c r="I23" s="1" t="s">
        <v>110</v>
      </c>
      <c r="J23" s="1" t="s">
        <v>111</v>
      </c>
      <c r="K23" s="1" t="s">
        <v>112</v>
      </c>
      <c r="L23" s="1">
        <v>89.9</v>
      </c>
      <c r="M23" s="1" t="s">
        <v>24</v>
      </c>
      <c r="N23" s="3">
        <v>45341.368263888886</v>
      </c>
      <c r="O23" s="1" t="s">
        <v>25</v>
      </c>
      <c r="P23" s="1" t="s">
        <v>26</v>
      </c>
    </row>
    <row r="24" spans="1:16" ht="14.25" customHeight="1">
      <c r="A24" s="1">
        <v>161909</v>
      </c>
      <c r="B24" s="1" t="s">
        <v>16</v>
      </c>
      <c r="C24" s="1" t="s">
        <v>32</v>
      </c>
      <c r="D24" s="1" t="s">
        <v>18</v>
      </c>
      <c r="E24" s="1" t="s">
        <v>17</v>
      </c>
      <c r="F24" s="1">
        <v>1290</v>
      </c>
      <c r="G24" s="1" t="s">
        <v>19</v>
      </c>
      <c r="H24" s="1" t="s">
        <v>113</v>
      </c>
      <c r="I24" s="1" t="s">
        <v>114</v>
      </c>
      <c r="J24" s="1" t="s">
        <v>115</v>
      </c>
      <c r="K24" s="1" t="s">
        <v>116</v>
      </c>
      <c r="L24" s="1">
        <v>299</v>
      </c>
      <c r="M24" s="1" t="s">
        <v>24</v>
      </c>
      <c r="N24" s="3">
        <v>45341.368275462963</v>
      </c>
      <c r="O24" s="1" t="s">
        <v>25</v>
      </c>
      <c r="P24" s="1" t="s">
        <v>26</v>
      </c>
    </row>
    <row r="25" spans="1:16" ht="14.25" customHeight="1">
      <c r="A25" s="1">
        <v>129152</v>
      </c>
      <c r="B25" s="1" t="s">
        <v>31</v>
      </c>
      <c r="C25" s="1" t="s">
        <v>17</v>
      </c>
      <c r="D25" s="1" t="s">
        <v>18</v>
      </c>
      <c r="E25" s="1" t="s">
        <v>17</v>
      </c>
      <c r="F25" s="1">
        <v>2356</v>
      </c>
      <c r="G25" s="1" t="s">
        <v>19</v>
      </c>
      <c r="H25" s="1" t="s">
        <v>117</v>
      </c>
      <c r="I25" s="1" t="s">
        <v>118</v>
      </c>
      <c r="J25" s="1" t="s">
        <v>119</v>
      </c>
      <c r="K25" s="1" t="s">
        <v>120</v>
      </c>
      <c r="L25" s="1">
        <v>49.9</v>
      </c>
      <c r="M25" s="1" t="s">
        <v>24</v>
      </c>
      <c r="N25" s="3">
        <v>45341.368275462963</v>
      </c>
      <c r="O25" s="1" t="s">
        <v>25</v>
      </c>
      <c r="P25" s="1" t="s">
        <v>26</v>
      </c>
    </row>
    <row r="26" spans="1:16" ht="14.25" customHeight="1">
      <c r="A26" s="1">
        <v>183243</v>
      </c>
      <c r="B26" s="1" t="s">
        <v>49</v>
      </c>
      <c r="C26" s="1" t="s">
        <v>32</v>
      </c>
      <c r="D26" s="1" t="s">
        <v>18</v>
      </c>
      <c r="E26" s="1" t="s">
        <v>17</v>
      </c>
      <c r="F26" s="1">
        <v>1524</v>
      </c>
      <c r="G26" s="1" t="s">
        <v>19</v>
      </c>
      <c r="H26" s="1" t="s">
        <v>121</v>
      </c>
      <c r="I26" s="1" t="s">
        <v>122</v>
      </c>
      <c r="J26" s="1" t="s">
        <v>123</v>
      </c>
      <c r="K26" s="1" t="s">
        <v>124</v>
      </c>
      <c r="L26" s="1">
        <v>169</v>
      </c>
      <c r="M26" s="1" t="s">
        <v>24</v>
      </c>
      <c r="N26" s="3">
        <v>45341.368287037039</v>
      </c>
      <c r="O26" s="1" t="s">
        <v>25</v>
      </c>
      <c r="P26" s="1" t="s">
        <v>26</v>
      </c>
    </row>
    <row r="27" spans="1:16" ht="14.25" customHeight="1">
      <c r="A27" s="1">
        <v>198248</v>
      </c>
      <c r="B27" s="1" t="s">
        <v>49</v>
      </c>
      <c r="C27" s="1" t="s">
        <v>32</v>
      </c>
      <c r="D27" s="1" t="s">
        <v>18</v>
      </c>
      <c r="E27" s="1" t="s">
        <v>17</v>
      </c>
      <c r="F27" s="1">
        <v>1644</v>
      </c>
      <c r="G27" s="1" t="s">
        <v>19</v>
      </c>
      <c r="H27" s="1" t="s">
        <v>125</v>
      </c>
      <c r="I27" s="1" t="s">
        <v>126</v>
      </c>
      <c r="J27" s="1" t="s">
        <v>127</v>
      </c>
      <c r="K27" s="1" t="s">
        <v>128</v>
      </c>
      <c r="L27" s="1">
        <v>69.900000000000006</v>
      </c>
      <c r="M27" s="1" t="s">
        <v>24</v>
      </c>
      <c r="N27" s="3">
        <v>45341.368287037039</v>
      </c>
      <c r="O27" s="1" t="s">
        <v>25</v>
      </c>
      <c r="P27" s="1" t="s">
        <v>26</v>
      </c>
    </row>
    <row r="28" spans="1:16" ht="14.25" customHeight="1">
      <c r="A28" s="1">
        <v>191230</v>
      </c>
      <c r="B28" s="1" t="s">
        <v>31</v>
      </c>
      <c r="C28" s="1" t="s">
        <v>17</v>
      </c>
      <c r="D28" s="1" t="s">
        <v>18</v>
      </c>
      <c r="E28" s="1" t="s">
        <v>17</v>
      </c>
      <c r="F28" s="1">
        <v>966</v>
      </c>
      <c r="G28" s="1" t="s">
        <v>19</v>
      </c>
      <c r="H28" s="1" t="s">
        <v>129</v>
      </c>
      <c r="I28" s="1" t="s">
        <v>130</v>
      </c>
      <c r="J28" s="1" t="s">
        <v>131</v>
      </c>
      <c r="K28" s="1" t="s">
        <v>132</v>
      </c>
      <c r="L28" s="1">
        <v>89.9</v>
      </c>
      <c r="M28" s="1" t="s">
        <v>24</v>
      </c>
      <c r="N28" s="3">
        <v>45341.368298611109</v>
      </c>
      <c r="O28" s="1" t="s">
        <v>25</v>
      </c>
      <c r="P28" s="1" t="s">
        <v>26</v>
      </c>
    </row>
    <row r="29" spans="1:16" ht="14.25" customHeight="1">
      <c r="A29" s="1">
        <v>187234</v>
      </c>
      <c r="B29" s="1" t="s">
        <v>49</v>
      </c>
      <c r="C29" s="1" t="s">
        <v>32</v>
      </c>
      <c r="D29" s="1" t="s">
        <v>18</v>
      </c>
      <c r="E29" s="1" t="s">
        <v>32</v>
      </c>
      <c r="F29" s="1">
        <v>2575</v>
      </c>
      <c r="G29" s="1" t="s">
        <v>19</v>
      </c>
      <c r="H29" s="1" t="s">
        <v>133</v>
      </c>
      <c r="I29" s="1" t="s">
        <v>134</v>
      </c>
      <c r="J29" s="1" t="s">
        <v>135</v>
      </c>
      <c r="K29" s="1" t="s">
        <v>136</v>
      </c>
      <c r="L29" s="1">
        <v>59.9</v>
      </c>
      <c r="M29" s="1" t="s">
        <v>24</v>
      </c>
      <c r="N29" s="3">
        <v>45341.368310185186</v>
      </c>
      <c r="O29" s="1" t="s">
        <v>25</v>
      </c>
      <c r="P29" s="1" t="s">
        <v>26</v>
      </c>
    </row>
    <row r="30" spans="1:16" ht="14.25" customHeight="1">
      <c r="A30" s="1">
        <v>148888</v>
      </c>
      <c r="B30" s="1" t="s">
        <v>49</v>
      </c>
      <c r="C30" s="1" t="s">
        <v>17</v>
      </c>
      <c r="D30" s="1" t="s">
        <v>18</v>
      </c>
      <c r="E30" s="1" t="s">
        <v>17</v>
      </c>
      <c r="F30" s="1">
        <v>2774</v>
      </c>
      <c r="G30" s="1" t="s">
        <v>19</v>
      </c>
      <c r="H30" s="1" t="s">
        <v>137</v>
      </c>
      <c r="I30" s="1" t="s">
        <v>138</v>
      </c>
      <c r="J30" s="1" t="s">
        <v>139</v>
      </c>
      <c r="K30" s="1" t="s">
        <v>140</v>
      </c>
      <c r="L30" s="1">
        <v>109</v>
      </c>
      <c r="M30" s="1" t="s">
        <v>24</v>
      </c>
      <c r="N30" s="3">
        <v>45341.368310185186</v>
      </c>
      <c r="O30" s="1" t="s">
        <v>25</v>
      </c>
      <c r="P30" s="1" t="s">
        <v>26</v>
      </c>
    </row>
    <row r="31" spans="1:16" ht="14.25" customHeight="1">
      <c r="A31" s="1">
        <v>110805</v>
      </c>
      <c r="B31" s="1" t="s">
        <v>49</v>
      </c>
      <c r="C31" s="1" t="s">
        <v>32</v>
      </c>
      <c r="D31" s="1" t="s">
        <v>18</v>
      </c>
      <c r="E31" s="1" t="s">
        <v>17</v>
      </c>
      <c r="F31" s="1">
        <v>2477</v>
      </c>
      <c r="G31" s="1" t="s">
        <v>19</v>
      </c>
      <c r="H31" s="1" t="s">
        <v>141</v>
      </c>
      <c r="I31" s="1" t="s">
        <v>142</v>
      </c>
      <c r="J31" s="1" t="s">
        <v>143</v>
      </c>
      <c r="K31" s="1" t="s">
        <v>144</v>
      </c>
      <c r="L31" s="1">
        <v>159</v>
      </c>
      <c r="M31" s="1" t="s">
        <v>24</v>
      </c>
      <c r="N31" s="3">
        <v>45341.368321759262</v>
      </c>
      <c r="O31" s="1" t="s">
        <v>25</v>
      </c>
      <c r="P31" s="1" t="s">
        <v>26</v>
      </c>
    </row>
    <row r="32" spans="1:16" ht="14.25" customHeight="1">
      <c r="A32" s="1">
        <v>179801</v>
      </c>
      <c r="B32" s="1" t="s">
        <v>49</v>
      </c>
      <c r="C32" s="1" t="s">
        <v>17</v>
      </c>
      <c r="D32" s="1" t="s">
        <v>18</v>
      </c>
      <c r="E32" s="1" t="s">
        <v>32</v>
      </c>
      <c r="F32" s="1">
        <v>2608</v>
      </c>
      <c r="G32" s="1" t="s">
        <v>19</v>
      </c>
      <c r="H32" s="1" t="s">
        <v>145</v>
      </c>
      <c r="I32" s="1" t="s">
        <v>146</v>
      </c>
      <c r="J32" s="1" t="s">
        <v>147</v>
      </c>
      <c r="K32" s="1" t="s">
        <v>148</v>
      </c>
      <c r="L32" s="1">
        <v>129</v>
      </c>
      <c r="M32" s="1" t="s">
        <v>24</v>
      </c>
      <c r="N32" s="3">
        <v>45341.368321759262</v>
      </c>
      <c r="O32" s="1" t="s">
        <v>25</v>
      </c>
      <c r="P32" s="1" t="s">
        <v>26</v>
      </c>
    </row>
    <row r="33" spans="1:16" ht="14.25" customHeight="1">
      <c r="A33" s="1">
        <v>134927</v>
      </c>
      <c r="B33" s="1" t="s">
        <v>16</v>
      </c>
      <c r="C33" s="1" t="s">
        <v>32</v>
      </c>
      <c r="D33" s="1" t="s">
        <v>18</v>
      </c>
      <c r="E33" s="1" t="s">
        <v>32</v>
      </c>
      <c r="F33" s="1">
        <v>2252</v>
      </c>
      <c r="G33" s="1" t="s">
        <v>19</v>
      </c>
      <c r="H33" s="1" t="s">
        <v>149</v>
      </c>
      <c r="I33" s="1" t="s">
        <v>150</v>
      </c>
      <c r="J33" s="1" t="s">
        <v>131</v>
      </c>
      <c r="K33" s="1" t="s">
        <v>151</v>
      </c>
      <c r="L33" s="1">
        <v>129</v>
      </c>
      <c r="M33" s="1" t="s">
        <v>24</v>
      </c>
      <c r="N33" s="3">
        <v>45341.368333333332</v>
      </c>
      <c r="O33" s="1" t="s">
        <v>25</v>
      </c>
      <c r="P33" s="1" t="s">
        <v>26</v>
      </c>
    </row>
    <row r="34" spans="1:16" ht="14.25" customHeight="1">
      <c r="A34" s="1">
        <v>123150</v>
      </c>
      <c r="B34" s="1" t="s">
        <v>31</v>
      </c>
      <c r="C34" s="1" t="s">
        <v>32</v>
      </c>
      <c r="D34" s="1" t="s">
        <v>18</v>
      </c>
      <c r="E34" s="1" t="s">
        <v>17</v>
      </c>
      <c r="F34" s="1">
        <v>2074</v>
      </c>
      <c r="G34" s="1" t="s">
        <v>19</v>
      </c>
      <c r="H34" s="1" t="s">
        <v>152</v>
      </c>
      <c r="I34" s="1" t="s">
        <v>153</v>
      </c>
      <c r="J34" s="1" t="s">
        <v>154</v>
      </c>
      <c r="K34" s="1" t="s">
        <v>155</v>
      </c>
      <c r="L34" s="1">
        <f>129</f>
        <v>129</v>
      </c>
      <c r="M34" s="1" t="s">
        <v>24</v>
      </c>
      <c r="N34" s="3">
        <v>45341.368333333332</v>
      </c>
      <c r="O34" s="1" t="s">
        <v>25</v>
      </c>
      <c r="P34" s="1" t="s">
        <v>26</v>
      </c>
    </row>
    <row r="35" spans="1:16" ht="14.25" customHeight="1">
      <c r="A35" s="1">
        <v>159145</v>
      </c>
      <c r="B35" s="1" t="s">
        <v>31</v>
      </c>
      <c r="C35" s="1" t="s">
        <v>32</v>
      </c>
      <c r="D35" s="1" t="s">
        <v>18</v>
      </c>
      <c r="E35" s="1" t="s">
        <v>17</v>
      </c>
      <c r="F35" s="1">
        <v>2579</v>
      </c>
      <c r="G35" s="1" t="s">
        <v>19</v>
      </c>
      <c r="H35" s="1" t="s">
        <v>156</v>
      </c>
      <c r="I35" s="1" t="s">
        <v>157</v>
      </c>
      <c r="J35" s="1" t="s">
        <v>52</v>
      </c>
      <c r="K35" s="1" t="s">
        <v>158</v>
      </c>
      <c r="L35" s="1">
        <f t="shared" ref="L35:L37" si="0">109</f>
        <v>109</v>
      </c>
      <c r="M35" s="1" t="s">
        <v>24</v>
      </c>
      <c r="N35" s="3">
        <v>45341.368344907409</v>
      </c>
      <c r="O35" s="1" t="s">
        <v>25</v>
      </c>
      <c r="P35" s="1" t="s">
        <v>26</v>
      </c>
    </row>
    <row r="36" spans="1:16" ht="14.25" customHeight="1">
      <c r="A36" s="1">
        <v>172364</v>
      </c>
      <c r="B36" s="1" t="s">
        <v>16</v>
      </c>
      <c r="C36" s="1" t="s">
        <v>32</v>
      </c>
      <c r="D36" s="1" t="s">
        <v>18</v>
      </c>
      <c r="E36" s="1" t="s">
        <v>17</v>
      </c>
      <c r="F36" s="1">
        <v>2931</v>
      </c>
      <c r="G36" s="1" t="s">
        <v>19</v>
      </c>
      <c r="H36" s="1" t="s">
        <v>159</v>
      </c>
      <c r="I36" s="1" t="s">
        <v>160</v>
      </c>
      <c r="J36" s="1" t="s">
        <v>127</v>
      </c>
      <c r="K36" s="1" t="s">
        <v>161</v>
      </c>
      <c r="L36" s="1">
        <f t="shared" si="0"/>
        <v>109</v>
      </c>
      <c r="M36" s="1" t="s">
        <v>24</v>
      </c>
      <c r="N36" s="3">
        <v>45341.368356481478</v>
      </c>
      <c r="O36" s="1" t="s">
        <v>25</v>
      </c>
      <c r="P36" s="1" t="s">
        <v>26</v>
      </c>
    </row>
    <row r="37" spans="1:16" ht="14.25" customHeight="1">
      <c r="A37" s="1">
        <v>178281</v>
      </c>
      <c r="B37" s="1" t="s">
        <v>31</v>
      </c>
      <c r="C37" s="1" t="s">
        <v>17</v>
      </c>
      <c r="D37" s="1" t="s">
        <v>18</v>
      </c>
      <c r="E37" s="1" t="s">
        <v>32</v>
      </c>
      <c r="F37" s="1">
        <v>1145</v>
      </c>
      <c r="G37" s="1" t="s">
        <v>19</v>
      </c>
      <c r="H37" s="1" t="s">
        <v>162</v>
      </c>
      <c r="I37" s="1" t="s">
        <v>163</v>
      </c>
      <c r="J37" s="1" t="s">
        <v>164</v>
      </c>
      <c r="K37" s="1" t="s">
        <v>165</v>
      </c>
      <c r="L37" s="1">
        <f t="shared" si="0"/>
        <v>109</v>
      </c>
      <c r="M37" s="1" t="s">
        <v>24</v>
      </c>
      <c r="N37" s="3">
        <v>45341.368368055555</v>
      </c>
      <c r="O37" s="1" t="s">
        <v>25</v>
      </c>
      <c r="P37" s="1" t="s">
        <v>26</v>
      </c>
    </row>
    <row r="38" spans="1:16" ht="14.25" customHeight="1">
      <c r="A38" s="1">
        <v>194339</v>
      </c>
      <c r="B38" s="1" t="s">
        <v>31</v>
      </c>
      <c r="C38" s="1" t="s">
        <v>17</v>
      </c>
      <c r="D38" s="1" t="s">
        <v>18</v>
      </c>
      <c r="E38" s="1" t="s">
        <v>17</v>
      </c>
      <c r="F38" s="1">
        <v>1792</v>
      </c>
      <c r="G38" s="1" t="s">
        <v>19</v>
      </c>
      <c r="H38" s="1" t="s">
        <v>166</v>
      </c>
      <c r="I38" s="1" t="s">
        <v>167</v>
      </c>
      <c r="J38" s="1" t="s">
        <v>168</v>
      </c>
      <c r="K38" s="1" t="s">
        <v>169</v>
      </c>
      <c r="L38" s="1">
        <f>89.9</f>
        <v>89.9</v>
      </c>
      <c r="M38" s="1" t="s">
        <v>24</v>
      </c>
      <c r="N38" s="3">
        <v>45341.368379629632</v>
      </c>
      <c r="O38" s="1" t="s">
        <v>25</v>
      </c>
      <c r="P38" s="1" t="s">
        <v>26</v>
      </c>
    </row>
    <row r="39" spans="1:16" ht="14.25" customHeight="1">
      <c r="A39" s="1">
        <v>174412</v>
      </c>
      <c r="B39" s="1" t="s">
        <v>16</v>
      </c>
      <c r="C39" s="1" t="s">
        <v>17</v>
      </c>
      <c r="D39" s="1" t="s">
        <v>18</v>
      </c>
      <c r="E39" s="1" t="s">
        <v>32</v>
      </c>
      <c r="F39" s="1">
        <v>1796</v>
      </c>
      <c r="G39" s="1" t="s">
        <v>19</v>
      </c>
      <c r="H39" s="1" t="s">
        <v>170</v>
      </c>
      <c r="I39" s="1" t="s">
        <v>171</v>
      </c>
      <c r="J39" s="1" t="s">
        <v>92</v>
      </c>
      <c r="K39" s="1" t="s">
        <v>172</v>
      </c>
      <c r="L39" s="1">
        <f>69.9</f>
        <v>69.900000000000006</v>
      </c>
      <c r="M39" s="1" t="s">
        <v>24</v>
      </c>
      <c r="N39" s="3">
        <v>45341.368391203701</v>
      </c>
      <c r="O39" s="1" t="s">
        <v>25</v>
      </c>
      <c r="P39" s="1" t="s">
        <v>26</v>
      </c>
    </row>
    <row r="40" spans="1:16" ht="14.25" customHeight="1">
      <c r="A40" s="1">
        <v>114877</v>
      </c>
      <c r="B40" s="1" t="s">
        <v>16</v>
      </c>
      <c r="C40" s="1" t="s">
        <v>17</v>
      </c>
      <c r="D40" s="1" t="s">
        <v>18</v>
      </c>
      <c r="E40" s="1" t="s">
        <v>17</v>
      </c>
      <c r="F40" s="1">
        <v>1860</v>
      </c>
      <c r="G40" s="1" t="s">
        <v>19</v>
      </c>
      <c r="H40" s="1" t="s">
        <v>173</v>
      </c>
      <c r="I40" s="1" t="s">
        <v>174</v>
      </c>
      <c r="J40" s="1" t="s">
        <v>175</v>
      </c>
      <c r="K40" s="1" t="s">
        <v>176</v>
      </c>
      <c r="L40" s="1">
        <f>349</f>
        <v>349</v>
      </c>
      <c r="M40" s="1" t="s">
        <v>24</v>
      </c>
      <c r="N40" s="3">
        <v>45341.368391203701</v>
      </c>
      <c r="O40" s="1" t="s">
        <v>25</v>
      </c>
      <c r="P40" s="1" t="s">
        <v>26</v>
      </c>
    </row>
    <row r="41" spans="1:16" ht="14.25" customHeight="1">
      <c r="A41" s="1">
        <v>140727</v>
      </c>
      <c r="B41" s="1" t="s">
        <v>31</v>
      </c>
      <c r="C41" s="1" t="s">
        <v>32</v>
      </c>
      <c r="D41" s="1" t="s">
        <v>18</v>
      </c>
      <c r="E41" s="1" t="s">
        <v>32</v>
      </c>
      <c r="F41" s="1">
        <v>1002</v>
      </c>
      <c r="G41" s="1" t="s">
        <v>19</v>
      </c>
      <c r="H41" s="1" t="s">
        <v>177</v>
      </c>
      <c r="I41" s="1" t="s">
        <v>178</v>
      </c>
      <c r="J41" s="1" t="s">
        <v>47</v>
      </c>
      <c r="K41" s="1" t="s">
        <v>179</v>
      </c>
      <c r="L41" s="1">
        <f t="shared" ref="L41:L42" si="1">79.9</f>
        <v>79.900000000000006</v>
      </c>
      <c r="M41" s="1" t="s">
        <v>24</v>
      </c>
      <c r="N41" s="3">
        <v>45341.368414351855</v>
      </c>
      <c r="O41" s="1" t="s">
        <v>25</v>
      </c>
      <c r="P41" s="1" t="s">
        <v>26</v>
      </c>
    </row>
    <row r="42" spans="1:16" ht="14.25" customHeight="1">
      <c r="A42" s="1">
        <v>133109</v>
      </c>
      <c r="B42" s="1" t="s">
        <v>49</v>
      </c>
      <c r="C42" s="1" t="s">
        <v>17</v>
      </c>
      <c r="D42" s="1" t="s">
        <v>18</v>
      </c>
      <c r="E42" s="1" t="s">
        <v>32</v>
      </c>
      <c r="F42" s="1">
        <v>2063</v>
      </c>
      <c r="G42" s="1" t="s">
        <v>19</v>
      </c>
      <c r="H42" s="1" t="s">
        <v>180</v>
      </c>
      <c r="I42" s="1" t="s">
        <v>181</v>
      </c>
      <c r="J42" s="1" t="s">
        <v>182</v>
      </c>
      <c r="K42" s="1" t="s">
        <v>183</v>
      </c>
      <c r="L42" s="1">
        <f t="shared" si="1"/>
        <v>79.900000000000006</v>
      </c>
      <c r="M42" s="1" t="s">
        <v>24</v>
      </c>
      <c r="N42" s="3">
        <v>45341.368414351855</v>
      </c>
      <c r="O42" s="1" t="s">
        <v>25</v>
      </c>
      <c r="P42" s="1" t="s">
        <v>26</v>
      </c>
    </row>
    <row r="43" spans="1:16" ht="14.25" customHeight="1">
      <c r="A43" s="1">
        <v>127296</v>
      </c>
      <c r="B43" s="1" t="s">
        <v>16</v>
      </c>
      <c r="C43" s="1" t="s">
        <v>17</v>
      </c>
      <c r="D43" s="1" t="s">
        <v>18</v>
      </c>
      <c r="E43" s="1" t="s">
        <v>17</v>
      </c>
      <c r="F43" s="1">
        <v>1165</v>
      </c>
      <c r="G43" s="1" t="s">
        <v>19</v>
      </c>
      <c r="H43" s="1" t="s">
        <v>184</v>
      </c>
      <c r="I43" s="1" t="s">
        <v>185</v>
      </c>
      <c r="J43" s="1" t="s">
        <v>186</v>
      </c>
      <c r="K43" s="1" t="s">
        <v>187</v>
      </c>
      <c r="L43" s="1">
        <f>89.9</f>
        <v>89.9</v>
      </c>
      <c r="M43" s="1" t="s">
        <v>24</v>
      </c>
      <c r="N43" s="3">
        <v>45341.368425925924</v>
      </c>
      <c r="O43" s="1" t="s">
        <v>25</v>
      </c>
      <c r="P43" s="1" t="s">
        <v>26</v>
      </c>
    </row>
    <row r="44" spans="1:16" ht="14.25" customHeight="1">
      <c r="A44" s="1">
        <v>133757</v>
      </c>
      <c r="B44" s="1" t="s">
        <v>16</v>
      </c>
      <c r="C44" s="1" t="s">
        <v>32</v>
      </c>
      <c r="D44" s="1" t="s">
        <v>18</v>
      </c>
      <c r="E44" s="1" t="s">
        <v>17</v>
      </c>
      <c r="F44" s="1">
        <v>2071</v>
      </c>
      <c r="G44" s="1" t="s">
        <v>19</v>
      </c>
      <c r="H44" s="1" t="s">
        <v>188</v>
      </c>
      <c r="I44" s="1" t="s">
        <v>189</v>
      </c>
      <c r="J44" s="1" t="s">
        <v>190</v>
      </c>
      <c r="K44" s="1" t="s">
        <v>191</v>
      </c>
      <c r="L44" s="1">
        <f>129</f>
        <v>129</v>
      </c>
      <c r="M44" s="1" t="s">
        <v>24</v>
      </c>
      <c r="N44" s="3">
        <v>45341.368437500001</v>
      </c>
      <c r="O44" s="1" t="s">
        <v>25</v>
      </c>
      <c r="P44" s="1" t="s">
        <v>26</v>
      </c>
    </row>
    <row r="45" spans="1:16" ht="14.25" customHeight="1">
      <c r="A45" s="1">
        <v>111760</v>
      </c>
      <c r="B45" s="1" t="s">
        <v>31</v>
      </c>
      <c r="C45" s="1" t="s">
        <v>17</v>
      </c>
      <c r="D45" s="1" t="s">
        <v>18</v>
      </c>
      <c r="E45" s="1" t="s">
        <v>17</v>
      </c>
      <c r="F45" s="1">
        <v>1474</v>
      </c>
      <c r="G45" s="1" t="s">
        <v>19</v>
      </c>
      <c r="H45" s="1" t="s">
        <v>192</v>
      </c>
      <c r="I45" s="1" t="s">
        <v>193</v>
      </c>
      <c r="J45" s="1" t="s">
        <v>194</v>
      </c>
      <c r="K45" s="1" t="s">
        <v>195</v>
      </c>
      <c r="L45" s="1">
        <f>109</f>
        <v>109</v>
      </c>
      <c r="M45" s="1" t="s">
        <v>24</v>
      </c>
      <c r="N45" s="3">
        <v>45341.368437500001</v>
      </c>
      <c r="O45" s="1" t="s">
        <v>25</v>
      </c>
      <c r="P45" s="1" t="s">
        <v>26</v>
      </c>
    </row>
    <row r="46" spans="1:16" ht="14.25" customHeight="1">
      <c r="A46" s="1">
        <v>198375</v>
      </c>
      <c r="B46" s="1" t="s">
        <v>31</v>
      </c>
      <c r="C46" s="1" t="s">
        <v>17</v>
      </c>
      <c r="D46" s="1" t="s">
        <v>18</v>
      </c>
      <c r="E46" s="1" t="s">
        <v>17</v>
      </c>
      <c r="F46" s="1">
        <v>2202</v>
      </c>
      <c r="G46" s="1" t="s">
        <v>19</v>
      </c>
      <c r="H46" s="1" t="s">
        <v>196</v>
      </c>
      <c r="I46" s="1" t="s">
        <v>197</v>
      </c>
      <c r="J46" s="1" t="s">
        <v>88</v>
      </c>
      <c r="K46" s="1" t="s">
        <v>198</v>
      </c>
      <c r="L46" s="1">
        <f>69.9</f>
        <v>69.900000000000006</v>
      </c>
      <c r="M46" s="1" t="s">
        <v>24</v>
      </c>
      <c r="N46" s="3">
        <v>45341.368449074071</v>
      </c>
      <c r="O46" s="1" t="s">
        <v>25</v>
      </c>
      <c r="P46" s="1" t="s">
        <v>26</v>
      </c>
    </row>
    <row r="47" spans="1:16" ht="14.25" customHeight="1">
      <c r="A47" s="1">
        <v>168837</v>
      </c>
      <c r="B47" s="1" t="s">
        <v>16</v>
      </c>
      <c r="C47" s="1" t="s">
        <v>17</v>
      </c>
      <c r="D47" s="1" t="s">
        <v>18</v>
      </c>
      <c r="E47" s="1" t="s">
        <v>17</v>
      </c>
      <c r="F47" s="1">
        <v>665</v>
      </c>
      <c r="G47" s="1" t="s">
        <v>19</v>
      </c>
      <c r="H47" s="1" t="s">
        <v>199</v>
      </c>
      <c r="I47" s="1" t="s">
        <v>200</v>
      </c>
      <c r="J47" s="1" t="s">
        <v>168</v>
      </c>
      <c r="K47" s="1" t="s">
        <v>169</v>
      </c>
      <c r="L47" s="1">
        <v>89.9</v>
      </c>
      <c r="M47" s="1" t="s">
        <v>24</v>
      </c>
      <c r="N47" s="3">
        <v>45341.368449074071</v>
      </c>
      <c r="O47" s="1" t="s">
        <v>25</v>
      </c>
      <c r="P47" s="1" t="s">
        <v>26</v>
      </c>
    </row>
    <row r="48" spans="1:16" ht="14.25" customHeight="1">
      <c r="A48" s="1">
        <v>138505</v>
      </c>
      <c r="B48" s="1" t="s">
        <v>49</v>
      </c>
      <c r="C48" s="1" t="s">
        <v>17</v>
      </c>
      <c r="D48" s="1" t="s">
        <v>18</v>
      </c>
      <c r="E48" s="1" t="s">
        <v>17</v>
      </c>
      <c r="F48" s="1">
        <v>2478</v>
      </c>
      <c r="G48" s="1" t="s">
        <v>19</v>
      </c>
      <c r="H48" s="1" t="s">
        <v>201</v>
      </c>
      <c r="I48" s="1" t="s">
        <v>202</v>
      </c>
      <c r="J48" s="1" t="s">
        <v>203</v>
      </c>
      <c r="K48" s="1" t="s">
        <v>204</v>
      </c>
      <c r="L48" s="1">
        <f>69.9</f>
        <v>69.900000000000006</v>
      </c>
      <c r="M48" s="1" t="s">
        <v>24</v>
      </c>
      <c r="N48" s="3">
        <v>45341.368460648147</v>
      </c>
      <c r="O48" s="1" t="s">
        <v>25</v>
      </c>
      <c r="P48" s="1" t="s">
        <v>26</v>
      </c>
    </row>
    <row r="49" spans="1:16" ht="14.25" customHeight="1">
      <c r="A49" s="1">
        <v>116228</v>
      </c>
      <c r="B49" s="1" t="s">
        <v>31</v>
      </c>
      <c r="C49" s="1" t="s">
        <v>32</v>
      </c>
      <c r="D49" s="1" t="s">
        <v>18</v>
      </c>
      <c r="E49" s="1" t="s">
        <v>17</v>
      </c>
      <c r="F49" s="1">
        <v>647</v>
      </c>
      <c r="G49" s="1" t="s">
        <v>19</v>
      </c>
      <c r="H49" s="1" t="s">
        <v>205</v>
      </c>
      <c r="I49" s="1" t="s">
        <v>206</v>
      </c>
      <c r="J49" s="1" t="s">
        <v>207</v>
      </c>
      <c r="K49" s="1" t="s">
        <v>208</v>
      </c>
      <c r="L49" s="1">
        <f t="shared" ref="L49:L52" si="2">89.9</f>
        <v>89.9</v>
      </c>
      <c r="M49" s="1" t="s">
        <v>24</v>
      </c>
      <c r="N49" s="3">
        <v>45341.368472222224</v>
      </c>
      <c r="O49" s="1" t="s">
        <v>25</v>
      </c>
      <c r="P49" s="1" t="s">
        <v>26</v>
      </c>
    </row>
    <row r="50" spans="1:16" ht="14.25" customHeight="1">
      <c r="A50" s="1">
        <v>167592</v>
      </c>
      <c r="B50" s="1" t="s">
        <v>49</v>
      </c>
      <c r="C50" s="1" t="s">
        <v>32</v>
      </c>
      <c r="D50" s="1" t="s">
        <v>18</v>
      </c>
      <c r="E50" s="1" t="s">
        <v>17</v>
      </c>
      <c r="F50" s="1">
        <v>707</v>
      </c>
      <c r="G50" s="1" t="s">
        <v>19</v>
      </c>
      <c r="H50" s="1" t="s">
        <v>209</v>
      </c>
      <c r="I50" s="1" t="s">
        <v>210</v>
      </c>
      <c r="J50" s="1" t="s">
        <v>211</v>
      </c>
      <c r="K50" s="1" t="s">
        <v>212</v>
      </c>
      <c r="L50" s="1">
        <f t="shared" si="2"/>
        <v>89.9</v>
      </c>
      <c r="M50" s="1" t="s">
        <v>24</v>
      </c>
      <c r="N50" s="3">
        <v>45341.368472222224</v>
      </c>
      <c r="O50" s="1" t="s">
        <v>25</v>
      </c>
      <c r="P50" s="1" t="s">
        <v>26</v>
      </c>
    </row>
    <row r="51" spans="1:16" ht="14.25" customHeight="1">
      <c r="A51" s="1">
        <v>133100</v>
      </c>
      <c r="B51" s="1" t="s">
        <v>31</v>
      </c>
      <c r="C51" s="1" t="s">
        <v>32</v>
      </c>
      <c r="D51" s="1" t="s">
        <v>18</v>
      </c>
      <c r="E51" s="1" t="s">
        <v>17</v>
      </c>
      <c r="F51" s="1">
        <v>2729</v>
      </c>
      <c r="G51" s="1" t="s">
        <v>19</v>
      </c>
      <c r="H51" s="1" t="s">
        <v>213</v>
      </c>
      <c r="I51" s="1" t="s">
        <v>214</v>
      </c>
      <c r="J51" s="1" t="s">
        <v>215</v>
      </c>
      <c r="K51" s="1" t="s">
        <v>216</v>
      </c>
      <c r="L51" s="1">
        <f t="shared" si="2"/>
        <v>89.9</v>
      </c>
      <c r="M51" s="1" t="s">
        <v>24</v>
      </c>
      <c r="N51" s="3">
        <v>45341.368483796294</v>
      </c>
      <c r="O51" s="1" t="s">
        <v>25</v>
      </c>
      <c r="P51" s="1" t="s">
        <v>26</v>
      </c>
    </row>
    <row r="52" spans="1:16" ht="14.25" customHeight="1">
      <c r="A52" s="1">
        <v>119955</v>
      </c>
      <c r="B52" s="1" t="s">
        <v>49</v>
      </c>
      <c r="C52" s="1" t="s">
        <v>17</v>
      </c>
      <c r="D52" s="1" t="s">
        <v>18</v>
      </c>
      <c r="E52" s="1" t="s">
        <v>17</v>
      </c>
      <c r="F52" s="1">
        <v>1590</v>
      </c>
      <c r="G52" s="1" t="s">
        <v>19</v>
      </c>
      <c r="H52" s="1" t="s">
        <v>217</v>
      </c>
      <c r="I52" s="1" t="s">
        <v>218</v>
      </c>
      <c r="J52" s="1" t="s">
        <v>164</v>
      </c>
      <c r="K52" s="1" t="s">
        <v>219</v>
      </c>
      <c r="L52" s="1">
        <f t="shared" si="2"/>
        <v>89.9</v>
      </c>
      <c r="M52" s="1" t="s">
        <v>24</v>
      </c>
      <c r="N52" s="3">
        <v>45341.368495370371</v>
      </c>
      <c r="O52" s="1" t="s">
        <v>25</v>
      </c>
      <c r="P52" s="1" t="s">
        <v>26</v>
      </c>
    </row>
    <row r="53" spans="1:16" ht="14.25" customHeight="1">
      <c r="A53" s="1">
        <v>189349</v>
      </c>
      <c r="B53" s="1" t="s">
        <v>31</v>
      </c>
      <c r="C53" s="1" t="s">
        <v>32</v>
      </c>
      <c r="D53" s="1" t="s">
        <v>18</v>
      </c>
      <c r="E53" s="1" t="s">
        <v>17</v>
      </c>
      <c r="F53" s="1">
        <v>1245</v>
      </c>
      <c r="G53" s="1" t="s">
        <v>19</v>
      </c>
      <c r="H53" s="1" t="s">
        <v>220</v>
      </c>
      <c r="I53" s="1" t="s">
        <v>221</v>
      </c>
      <c r="J53" s="1" t="s">
        <v>222</v>
      </c>
      <c r="K53" s="1" t="s">
        <v>223</v>
      </c>
      <c r="L53" s="1">
        <v>89.9</v>
      </c>
      <c r="M53" s="1" t="s">
        <v>24</v>
      </c>
      <c r="N53" s="3">
        <v>45341.368506944447</v>
      </c>
      <c r="O53" s="1" t="s">
        <v>25</v>
      </c>
      <c r="P53" s="1" t="s">
        <v>26</v>
      </c>
    </row>
    <row r="54" spans="1:16" ht="14.25" customHeight="1">
      <c r="A54" s="1">
        <v>127478</v>
      </c>
      <c r="B54" s="1" t="s">
        <v>49</v>
      </c>
      <c r="C54" s="1" t="s">
        <v>17</v>
      </c>
      <c r="D54" s="1" t="s">
        <v>18</v>
      </c>
      <c r="E54" s="1" t="s">
        <v>32</v>
      </c>
      <c r="F54" s="1">
        <v>2498</v>
      </c>
      <c r="G54" s="1" t="s">
        <v>19</v>
      </c>
      <c r="H54" s="1" t="s">
        <v>224</v>
      </c>
      <c r="I54" s="1" t="s">
        <v>225</v>
      </c>
      <c r="J54" s="1" t="s">
        <v>226</v>
      </c>
      <c r="K54" s="1" t="s">
        <v>227</v>
      </c>
      <c r="L54" s="1">
        <f t="shared" ref="L54:L55" si="3">129</f>
        <v>129</v>
      </c>
      <c r="M54" s="1" t="s">
        <v>24</v>
      </c>
      <c r="N54" s="3">
        <v>45341.368506944447</v>
      </c>
      <c r="O54" s="1" t="s">
        <v>25</v>
      </c>
      <c r="P54" s="1" t="s">
        <v>26</v>
      </c>
    </row>
    <row r="55" spans="1:16" ht="14.25" customHeight="1">
      <c r="A55" s="1">
        <v>180661</v>
      </c>
      <c r="B55" s="1" t="s">
        <v>49</v>
      </c>
      <c r="C55" s="1" t="s">
        <v>17</v>
      </c>
      <c r="D55" s="1" t="s">
        <v>18</v>
      </c>
      <c r="E55" s="1" t="s">
        <v>32</v>
      </c>
      <c r="F55" s="1">
        <v>1041</v>
      </c>
      <c r="G55" s="1" t="s">
        <v>19</v>
      </c>
      <c r="H55" s="1" t="s">
        <v>228</v>
      </c>
      <c r="I55" s="1" t="s">
        <v>229</v>
      </c>
      <c r="J55" s="1" t="s">
        <v>230</v>
      </c>
      <c r="K55" s="1" t="s">
        <v>231</v>
      </c>
      <c r="L55" s="1">
        <f t="shared" si="3"/>
        <v>129</v>
      </c>
      <c r="M55" s="1" t="s">
        <v>24</v>
      </c>
      <c r="N55" s="3">
        <v>45341.368518518517</v>
      </c>
      <c r="O55" s="1" t="s">
        <v>25</v>
      </c>
      <c r="P55" s="1" t="s">
        <v>26</v>
      </c>
    </row>
    <row r="56" spans="1:16" ht="14.25" customHeight="1">
      <c r="A56" s="1">
        <v>186681</v>
      </c>
      <c r="B56" s="1" t="s">
        <v>31</v>
      </c>
      <c r="C56" s="1" t="s">
        <v>17</v>
      </c>
      <c r="D56" s="1" t="s">
        <v>18</v>
      </c>
      <c r="E56" s="1" t="s">
        <v>32</v>
      </c>
      <c r="F56" s="1">
        <v>1717</v>
      </c>
      <c r="G56" s="1" t="s">
        <v>19</v>
      </c>
      <c r="H56" s="1" t="s">
        <v>232</v>
      </c>
      <c r="I56" s="1" t="s">
        <v>233</v>
      </c>
      <c r="J56" s="1" t="s">
        <v>234</v>
      </c>
      <c r="K56" s="1" t="s">
        <v>235</v>
      </c>
      <c r="L56" s="1">
        <f>19.99</f>
        <v>19.989999999999998</v>
      </c>
      <c r="M56" s="1" t="s">
        <v>24</v>
      </c>
      <c r="N56" s="3">
        <v>45341.368518518517</v>
      </c>
      <c r="O56" s="1" t="s">
        <v>25</v>
      </c>
      <c r="P56" s="1" t="s">
        <v>26</v>
      </c>
    </row>
    <row r="57" spans="1:16" ht="14.25" customHeight="1">
      <c r="A57" s="1">
        <v>133183</v>
      </c>
      <c r="B57" s="1" t="s">
        <v>49</v>
      </c>
      <c r="C57" s="1" t="s">
        <v>32</v>
      </c>
      <c r="D57" s="1" t="s">
        <v>18</v>
      </c>
      <c r="E57" s="1" t="s">
        <v>32</v>
      </c>
      <c r="F57" s="1">
        <v>2859</v>
      </c>
      <c r="G57" s="1" t="s">
        <v>19</v>
      </c>
      <c r="H57" s="1" t="s">
        <v>236</v>
      </c>
      <c r="I57" s="1" t="s">
        <v>237</v>
      </c>
      <c r="J57" s="1" t="s">
        <v>238</v>
      </c>
      <c r="K57" s="1" t="s">
        <v>239</v>
      </c>
      <c r="L57" s="1">
        <f>89.9</f>
        <v>89.9</v>
      </c>
      <c r="M57" s="1" t="s">
        <v>24</v>
      </c>
      <c r="N57" s="3">
        <v>45341.368530092594</v>
      </c>
      <c r="O57" s="1" t="s">
        <v>25</v>
      </c>
      <c r="P57" s="1" t="s">
        <v>26</v>
      </c>
    </row>
    <row r="58" spans="1:16" ht="14.25" customHeight="1">
      <c r="A58" s="1">
        <v>173508</v>
      </c>
      <c r="B58" s="1" t="s">
        <v>16</v>
      </c>
      <c r="C58" s="1" t="s">
        <v>32</v>
      </c>
      <c r="D58" s="1" t="s">
        <v>18</v>
      </c>
      <c r="E58" s="1" t="s">
        <v>17</v>
      </c>
      <c r="F58" s="1">
        <v>1658</v>
      </c>
      <c r="G58" s="1" t="s">
        <v>19</v>
      </c>
      <c r="H58" s="1" t="s">
        <v>240</v>
      </c>
      <c r="I58" s="1" t="s">
        <v>241</v>
      </c>
      <c r="J58" s="1" t="s">
        <v>242</v>
      </c>
      <c r="K58" s="1" t="s">
        <v>243</v>
      </c>
      <c r="L58" s="1">
        <v>129</v>
      </c>
      <c r="M58" s="1" t="s">
        <v>24</v>
      </c>
      <c r="N58" s="3">
        <v>45341.368530092594</v>
      </c>
      <c r="O58" s="1" t="s">
        <v>25</v>
      </c>
      <c r="P58" s="1" t="s">
        <v>26</v>
      </c>
    </row>
    <row r="59" spans="1:16" ht="14.25" customHeight="1">
      <c r="A59" s="1">
        <v>187930</v>
      </c>
      <c r="B59" s="1" t="s">
        <v>31</v>
      </c>
      <c r="C59" s="1" t="s">
        <v>17</v>
      </c>
      <c r="D59" s="1" t="s">
        <v>18</v>
      </c>
      <c r="E59" s="1" t="s">
        <v>32</v>
      </c>
      <c r="F59" s="1">
        <v>706</v>
      </c>
      <c r="G59" s="1" t="s">
        <v>19</v>
      </c>
      <c r="H59" s="1" t="s">
        <v>244</v>
      </c>
      <c r="I59" s="1" t="s">
        <v>245</v>
      </c>
      <c r="J59" s="1" t="s">
        <v>246</v>
      </c>
      <c r="K59" s="1" t="s">
        <v>247</v>
      </c>
      <c r="L59" s="1">
        <v>89.9</v>
      </c>
      <c r="M59" s="1" t="s">
        <v>24</v>
      </c>
      <c r="N59" s="3">
        <v>45341.368541666663</v>
      </c>
      <c r="O59" s="1" t="s">
        <v>25</v>
      </c>
      <c r="P59" s="1" t="s">
        <v>26</v>
      </c>
    </row>
    <row r="60" spans="1:16" ht="14.25" customHeight="1">
      <c r="A60" s="1">
        <v>124088</v>
      </c>
      <c r="B60" s="1" t="s">
        <v>31</v>
      </c>
      <c r="C60" s="1" t="s">
        <v>32</v>
      </c>
      <c r="D60" s="1" t="s">
        <v>18</v>
      </c>
      <c r="E60" s="1" t="s">
        <v>32</v>
      </c>
      <c r="F60" s="1">
        <v>2065</v>
      </c>
      <c r="G60" s="1" t="s">
        <v>19</v>
      </c>
      <c r="H60" s="1" t="s">
        <v>248</v>
      </c>
      <c r="I60" s="1" t="s">
        <v>249</v>
      </c>
      <c r="J60" s="1" t="s">
        <v>250</v>
      </c>
      <c r="K60" s="1" t="s">
        <v>251</v>
      </c>
      <c r="L60" s="1">
        <v>79.900000000000006</v>
      </c>
      <c r="M60" s="1" t="s">
        <v>24</v>
      </c>
      <c r="N60" s="3">
        <v>45341.36855324074</v>
      </c>
      <c r="O60" s="1" t="s">
        <v>25</v>
      </c>
      <c r="P60" s="1" t="s">
        <v>26</v>
      </c>
    </row>
    <row r="61" spans="1:16" ht="14.25" customHeight="1">
      <c r="A61" s="1">
        <v>190238</v>
      </c>
      <c r="B61" s="1" t="s">
        <v>49</v>
      </c>
      <c r="C61" s="1" t="s">
        <v>17</v>
      </c>
      <c r="D61" s="1" t="s">
        <v>18</v>
      </c>
      <c r="E61" s="1" t="s">
        <v>32</v>
      </c>
      <c r="F61" s="1">
        <v>1917</v>
      </c>
      <c r="G61" s="1" t="s">
        <v>19</v>
      </c>
      <c r="H61" s="1" t="s">
        <v>252</v>
      </c>
      <c r="I61" s="1" t="s">
        <v>253</v>
      </c>
      <c r="J61" s="1" t="s">
        <v>254</v>
      </c>
      <c r="K61" s="1" t="s">
        <v>255</v>
      </c>
      <c r="L61" s="1">
        <f>89.9</f>
        <v>89.9</v>
      </c>
      <c r="M61" s="1" t="s">
        <v>24</v>
      </c>
      <c r="N61" s="3">
        <v>45341.36855324074</v>
      </c>
      <c r="O61" s="1" t="s">
        <v>25</v>
      </c>
      <c r="P61" s="1" t="s">
        <v>26</v>
      </c>
    </row>
    <row r="62" spans="1:16" ht="14.25" customHeight="1">
      <c r="A62" s="1">
        <v>151925</v>
      </c>
      <c r="B62" s="1" t="s">
        <v>31</v>
      </c>
      <c r="C62" s="1" t="s">
        <v>32</v>
      </c>
      <c r="D62" s="1" t="s">
        <v>18</v>
      </c>
      <c r="E62" s="1" t="s">
        <v>32</v>
      </c>
      <c r="F62" s="1">
        <v>2179</v>
      </c>
      <c r="G62" s="1" t="s">
        <v>19</v>
      </c>
      <c r="H62" s="1" t="s">
        <v>256</v>
      </c>
      <c r="I62" s="1" t="s">
        <v>257</v>
      </c>
      <c r="J62" s="1" t="s">
        <v>258</v>
      </c>
      <c r="L62" s="1">
        <v>299</v>
      </c>
      <c r="M62" s="1" t="s">
        <v>24</v>
      </c>
      <c r="N62" s="3">
        <v>45341.368564814817</v>
      </c>
      <c r="O62" s="1" t="s">
        <v>25</v>
      </c>
      <c r="P62" s="1" t="s">
        <v>26</v>
      </c>
    </row>
    <row r="63" spans="1:16" ht="14.25" customHeight="1">
      <c r="A63" s="1">
        <v>163234</v>
      </c>
      <c r="B63" s="1" t="s">
        <v>49</v>
      </c>
      <c r="C63" s="1" t="s">
        <v>17</v>
      </c>
      <c r="D63" s="1" t="s">
        <v>18</v>
      </c>
      <c r="E63" s="1" t="s">
        <v>17</v>
      </c>
      <c r="F63" s="1">
        <v>1633</v>
      </c>
      <c r="G63" s="1" t="s">
        <v>19</v>
      </c>
      <c r="H63" s="1" t="s">
        <v>259</v>
      </c>
      <c r="I63" s="1" t="s">
        <v>260</v>
      </c>
      <c r="J63" s="1" t="s">
        <v>261</v>
      </c>
      <c r="K63" s="1" t="s">
        <v>262</v>
      </c>
      <c r="L63" s="1">
        <v>89.9</v>
      </c>
      <c r="M63" s="1" t="s">
        <v>24</v>
      </c>
      <c r="N63" s="3">
        <v>45341.368564814817</v>
      </c>
      <c r="O63" s="1" t="s">
        <v>25</v>
      </c>
      <c r="P63" s="1" t="s">
        <v>26</v>
      </c>
    </row>
    <row r="64" spans="1:16" ht="14.25" customHeight="1">
      <c r="A64" s="1">
        <v>135610</v>
      </c>
      <c r="B64" s="1" t="s">
        <v>16</v>
      </c>
      <c r="C64" s="1" t="s">
        <v>32</v>
      </c>
      <c r="D64" s="1" t="s">
        <v>18</v>
      </c>
      <c r="E64" s="1" t="s">
        <v>32</v>
      </c>
      <c r="F64" s="1">
        <v>1513</v>
      </c>
      <c r="G64" s="1" t="s">
        <v>19</v>
      </c>
      <c r="H64" s="1" t="s">
        <v>263</v>
      </c>
      <c r="I64" s="1" t="s">
        <v>264</v>
      </c>
      <c r="J64" s="1" t="s">
        <v>265</v>
      </c>
      <c r="K64" s="1" t="s">
        <v>266</v>
      </c>
      <c r="L64" s="1">
        <v>109</v>
      </c>
      <c r="M64" s="1" t="s">
        <v>24</v>
      </c>
      <c r="N64" s="3">
        <v>45341.368576388886</v>
      </c>
      <c r="O64" s="1" t="s">
        <v>25</v>
      </c>
      <c r="P64" s="1" t="s">
        <v>26</v>
      </c>
    </row>
    <row r="65" spans="1:16" ht="14.25" customHeight="1">
      <c r="A65" s="1">
        <v>117065</v>
      </c>
      <c r="B65" s="1" t="s">
        <v>16</v>
      </c>
      <c r="C65" s="1" t="s">
        <v>32</v>
      </c>
      <c r="D65" s="1" t="s">
        <v>18</v>
      </c>
      <c r="E65" s="1" t="s">
        <v>32</v>
      </c>
      <c r="F65" s="1">
        <v>758</v>
      </c>
      <c r="G65" s="1" t="s">
        <v>19</v>
      </c>
      <c r="H65" s="1" t="s">
        <v>267</v>
      </c>
      <c r="I65" s="1" t="s">
        <v>268</v>
      </c>
      <c r="J65" s="1" t="s">
        <v>269</v>
      </c>
      <c r="K65" s="1" t="s">
        <v>270</v>
      </c>
      <c r="L65" s="1">
        <v>109</v>
      </c>
      <c r="M65" s="1" t="s">
        <v>24</v>
      </c>
      <c r="N65" s="3">
        <v>45341.368587962963</v>
      </c>
      <c r="O65" s="1" t="s">
        <v>25</v>
      </c>
      <c r="P65" s="1" t="s">
        <v>26</v>
      </c>
    </row>
    <row r="66" spans="1:16" ht="14.25" customHeight="1">
      <c r="A66" s="1">
        <v>149315</v>
      </c>
      <c r="B66" s="1" t="s">
        <v>31</v>
      </c>
      <c r="C66" s="1" t="s">
        <v>32</v>
      </c>
      <c r="D66" s="1" t="s">
        <v>18</v>
      </c>
      <c r="E66" s="1" t="s">
        <v>17</v>
      </c>
      <c r="F66" s="1">
        <v>718</v>
      </c>
      <c r="G66" s="1" t="s">
        <v>19</v>
      </c>
      <c r="H66" s="1" t="s">
        <v>271</v>
      </c>
      <c r="I66" s="1" t="s">
        <v>272</v>
      </c>
      <c r="J66" s="1" t="s">
        <v>273</v>
      </c>
      <c r="K66" s="1" t="s">
        <v>274</v>
      </c>
      <c r="L66" s="1">
        <v>109</v>
      </c>
      <c r="M66" s="1" t="s">
        <v>24</v>
      </c>
      <c r="N66" s="3">
        <v>45341.368587962963</v>
      </c>
      <c r="O66" s="1" t="s">
        <v>25</v>
      </c>
      <c r="P66" s="1" t="s">
        <v>26</v>
      </c>
    </row>
    <row r="67" spans="1:16" ht="14.25" customHeight="1">
      <c r="A67" s="1">
        <v>149510</v>
      </c>
      <c r="B67" s="1" t="s">
        <v>16</v>
      </c>
      <c r="C67" s="1" t="s">
        <v>17</v>
      </c>
      <c r="D67" s="1" t="s">
        <v>18</v>
      </c>
      <c r="E67" s="1" t="s">
        <v>32</v>
      </c>
      <c r="F67" s="1">
        <v>1412</v>
      </c>
      <c r="G67" s="1" t="s">
        <v>19</v>
      </c>
      <c r="H67" s="1" t="s">
        <v>275</v>
      </c>
      <c r="I67" s="1" t="s">
        <v>276</v>
      </c>
      <c r="J67" s="1" t="s">
        <v>277</v>
      </c>
      <c r="K67" s="1" t="s">
        <v>278</v>
      </c>
      <c r="L67" s="1">
        <v>59.9</v>
      </c>
      <c r="M67" s="1" t="s">
        <v>24</v>
      </c>
      <c r="N67" s="3">
        <v>45341.36859953704</v>
      </c>
      <c r="O67" s="1" t="s">
        <v>25</v>
      </c>
      <c r="P67" s="1" t="s">
        <v>26</v>
      </c>
    </row>
    <row r="68" spans="1:16" ht="14.25" customHeight="1">
      <c r="A68" s="1">
        <v>137990</v>
      </c>
      <c r="B68" s="1" t="s">
        <v>16</v>
      </c>
      <c r="C68" s="1" t="s">
        <v>17</v>
      </c>
      <c r="D68" s="1" t="s">
        <v>18</v>
      </c>
      <c r="E68" s="1" t="s">
        <v>17</v>
      </c>
      <c r="F68" s="1">
        <v>2929</v>
      </c>
      <c r="G68" s="1" t="s">
        <v>19</v>
      </c>
      <c r="H68" s="1" t="s">
        <v>279</v>
      </c>
      <c r="I68" s="1" t="s">
        <v>280</v>
      </c>
      <c r="J68" s="1" t="s">
        <v>281</v>
      </c>
      <c r="K68" s="1" t="s">
        <v>282</v>
      </c>
      <c r="L68" s="1">
        <v>29.99</v>
      </c>
      <c r="M68" s="1" t="s">
        <v>24</v>
      </c>
      <c r="N68" s="3">
        <v>45341.368634259263</v>
      </c>
      <c r="O68" s="1" t="s">
        <v>25</v>
      </c>
      <c r="P68" s="1" t="s">
        <v>26</v>
      </c>
    </row>
    <row r="69" spans="1:16" ht="14.25" customHeight="1">
      <c r="A69" s="1">
        <v>154016</v>
      </c>
      <c r="B69" s="1" t="s">
        <v>31</v>
      </c>
      <c r="C69" s="1" t="s">
        <v>32</v>
      </c>
      <c r="D69" s="1" t="s">
        <v>18</v>
      </c>
      <c r="E69" s="1" t="s">
        <v>32</v>
      </c>
      <c r="F69" s="1">
        <v>2366</v>
      </c>
      <c r="G69" s="1" t="s">
        <v>19</v>
      </c>
      <c r="H69" s="1" t="s">
        <v>283</v>
      </c>
      <c r="I69" s="1" t="s">
        <v>284</v>
      </c>
      <c r="J69" s="1" t="s">
        <v>285</v>
      </c>
      <c r="K69" s="1" t="s">
        <v>286</v>
      </c>
      <c r="L69" s="1">
        <v>189</v>
      </c>
      <c r="M69" s="1" t="s">
        <v>24</v>
      </c>
      <c r="N69" s="3">
        <v>45341.368622685186</v>
      </c>
      <c r="O69" s="1" t="s">
        <v>25</v>
      </c>
      <c r="P69" s="1" t="s">
        <v>26</v>
      </c>
    </row>
    <row r="70" spans="1:16" ht="14.25" customHeight="1">
      <c r="A70" s="1">
        <v>117751</v>
      </c>
      <c r="B70" s="1" t="s">
        <v>16</v>
      </c>
      <c r="C70" s="1" t="s">
        <v>17</v>
      </c>
      <c r="D70" s="1" t="s">
        <v>18</v>
      </c>
      <c r="E70" s="1" t="s">
        <v>17</v>
      </c>
      <c r="F70" s="1">
        <v>2749</v>
      </c>
      <c r="G70" s="1" t="s">
        <v>19</v>
      </c>
      <c r="H70" s="1" t="s">
        <v>287</v>
      </c>
      <c r="I70" s="1" t="s">
        <v>288</v>
      </c>
      <c r="J70" s="1" t="s">
        <v>289</v>
      </c>
      <c r="K70" s="1" t="s">
        <v>290</v>
      </c>
      <c r="L70" s="1">
        <v>89.9</v>
      </c>
      <c r="M70" s="1" t="s">
        <v>24</v>
      </c>
      <c r="N70" s="3">
        <v>45341.368645833332</v>
      </c>
      <c r="O70" s="1" t="s">
        <v>25</v>
      </c>
      <c r="P70" s="1" t="s">
        <v>26</v>
      </c>
    </row>
    <row r="71" spans="1:16" ht="14.25" customHeight="1">
      <c r="A71" s="1">
        <v>182362</v>
      </c>
      <c r="B71" s="1" t="s">
        <v>49</v>
      </c>
      <c r="C71" s="1" t="s">
        <v>17</v>
      </c>
      <c r="D71" s="1" t="s">
        <v>18</v>
      </c>
      <c r="E71" s="1" t="s">
        <v>17</v>
      </c>
      <c r="F71" s="1">
        <v>2019</v>
      </c>
      <c r="G71" s="1" t="s">
        <v>19</v>
      </c>
      <c r="H71" s="1" t="s">
        <v>291</v>
      </c>
      <c r="I71" s="1" t="s">
        <v>292</v>
      </c>
      <c r="J71" s="1" t="s">
        <v>293</v>
      </c>
      <c r="K71" s="1" t="s">
        <v>294</v>
      </c>
      <c r="L71" s="1">
        <v>69.900000000000006</v>
      </c>
      <c r="M71" s="1" t="s">
        <v>24</v>
      </c>
      <c r="N71" s="3">
        <v>45341.368657407409</v>
      </c>
      <c r="O71" s="1" t="s">
        <v>25</v>
      </c>
      <c r="P71" s="1" t="s">
        <v>26</v>
      </c>
    </row>
    <row r="72" spans="1:16" ht="14.25" customHeight="1">
      <c r="A72" s="1">
        <v>117725</v>
      </c>
      <c r="B72" s="1" t="s">
        <v>16</v>
      </c>
      <c r="C72" s="1" t="s">
        <v>17</v>
      </c>
      <c r="D72" s="1" t="s">
        <v>18</v>
      </c>
      <c r="E72" s="1" t="s">
        <v>32</v>
      </c>
      <c r="F72" s="1">
        <v>1506</v>
      </c>
      <c r="G72" s="1" t="s">
        <v>19</v>
      </c>
      <c r="H72" s="1" t="s">
        <v>295</v>
      </c>
      <c r="I72" s="1" t="s">
        <v>296</v>
      </c>
      <c r="J72" s="1" t="s">
        <v>297</v>
      </c>
      <c r="K72" s="1" t="s">
        <v>298</v>
      </c>
      <c r="L72" s="1">
        <v>109</v>
      </c>
      <c r="M72" s="1" t="s">
        <v>24</v>
      </c>
      <c r="N72" s="3">
        <v>45341.368657407409</v>
      </c>
      <c r="O72" s="1" t="s">
        <v>25</v>
      </c>
      <c r="P72" s="1" t="s">
        <v>26</v>
      </c>
    </row>
    <row r="73" spans="1:16" ht="14.25" customHeight="1">
      <c r="A73" s="1">
        <v>145289</v>
      </c>
      <c r="B73" s="1" t="s">
        <v>31</v>
      </c>
      <c r="C73" s="1" t="s">
        <v>17</v>
      </c>
      <c r="D73" s="1" t="s">
        <v>18</v>
      </c>
      <c r="E73" s="1" t="s">
        <v>17</v>
      </c>
      <c r="F73" s="1">
        <v>1012</v>
      </c>
      <c r="G73" s="1" t="s">
        <v>19</v>
      </c>
      <c r="H73" s="1" t="s">
        <v>299</v>
      </c>
      <c r="I73" s="1" t="s">
        <v>300</v>
      </c>
      <c r="J73" s="1" t="s">
        <v>301</v>
      </c>
      <c r="K73" s="1" t="s">
        <v>302</v>
      </c>
      <c r="L73" s="1">
        <v>109</v>
      </c>
      <c r="M73" s="1" t="s">
        <v>24</v>
      </c>
      <c r="N73" s="3">
        <v>45341.368668981479</v>
      </c>
      <c r="O73" s="1" t="s">
        <v>25</v>
      </c>
      <c r="P73" s="1" t="s">
        <v>26</v>
      </c>
    </row>
    <row r="74" spans="1:16" ht="14.25" customHeight="1">
      <c r="A74" s="1">
        <v>173576</v>
      </c>
      <c r="B74" s="1" t="s">
        <v>31</v>
      </c>
      <c r="C74" s="1" t="s">
        <v>32</v>
      </c>
      <c r="D74" s="1" t="s">
        <v>18</v>
      </c>
      <c r="E74" s="1" t="s">
        <v>17</v>
      </c>
      <c r="F74" s="1">
        <v>1838</v>
      </c>
      <c r="G74" s="1" t="s">
        <v>19</v>
      </c>
      <c r="H74" s="1" t="s">
        <v>303</v>
      </c>
      <c r="I74" s="1" t="s">
        <v>304</v>
      </c>
      <c r="L74" s="1">
        <v>129</v>
      </c>
      <c r="M74" s="1" t="s">
        <v>24</v>
      </c>
      <c r="N74" s="3">
        <v>45341.368680555555</v>
      </c>
      <c r="O74" s="1" t="s">
        <v>25</v>
      </c>
      <c r="P74" s="1" t="s">
        <v>26</v>
      </c>
    </row>
    <row r="75" spans="1:16" ht="14.25" customHeight="1">
      <c r="A75" s="1">
        <v>175059</v>
      </c>
      <c r="B75" s="1" t="s">
        <v>16</v>
      </c>
      <c r="C75" s="1" t="s">
        <v>32</v>
      </c>
      <c r="D75" s="1" t="s">
        <v>18</v>
      </c>
      <c r="E75" s="1" t="s">
        <v>17</v>
      </c>
      <c r="F75" s="1">
        <v>2170</v>
      </c>
      <c r="G75" s="1" t="s">
        <v>19</v>
      </c>
      <c r="H75" s="1" t="s">
        <v>305</v>
      </c>
      <c r="I75" s="1" t="s">
        <v>306</v>
      </c>
      <c r="J75" s="1" t="s">
        <v>119</v>
      </c>
      <c r="K75" s="1" t="s">
        <v>120</v>
      </c>
      <c r="L75" s="1">
        <v>49.9</v>
      </c>
      <c r="M75" s="1" t="s">
        <v>24</v>
      </c>
      <c r="N75" s="3">
        <v>45341.368692129632</v>
      </c>
      <c r="O75" s="1" t="s">
        <v>25</v>
      </c>
      <c r="P75" s="1" t="s">
        <v>26</v>
      </c>
    </row>
    <row r="76" spans="1:16" ht="14.25" customHeight="1">
      <c r="A76" s="1">
        <v>199368</v>
      </c>
      <c r="B76" s="1" t="s">
        <v>49</v>
      </c>
      <c r="C76" s="1" t="s">
        <v>17</v>
      </c>
      <c r="D76" s="1" t="s">
        <v>18</v>
      </c>
      <c r="E76" s="1" t="s">
        <v>32</v>
      </c>
      <c r="F76" s="1">
        <v>1061</v>
      </c>
      <c r="G76" s="1" t="s">
        <v>19</v>
      </c>
      <c r="H76" s="1" t="s">
        <v>307</v>
      </c>
      <c r="I76" s="1" t="s">
        <v>308</v>
      </c>
      <c r="J76" s="1" t="s">
        <v>265</v>
      </c>
      <c r="K76" s="1" t="s">
        <v>309</v>
      </c>
      <c r="L76" s="1">
        <v>139</v>
      </c>
      <c r="M76" s="1" t="s">
        <v>24</v>
      </c>
      <c r="N76" s="3">
        <v>45341.368692129632</v>
      </c>
      <c r="O76" s="1" t="s">
        <v>25</v>
      </c>
      <c r="P76" s="1" t="s">
        <v>26</v>
      </c>
    </row>
    <row r="77" spans="1:16" ht="14.25" customHeight="1">
      <c r="A77" s="1">
        <v>162883</v>
      </c>
      <c r="B77" s="1" t="s">
        <v>49</v>
      </c>
      <c r="C77" s="1" t="s">
        <v>32</v>
      </c>
      <c r="D77" s="1" t="s">
        <v>18</v>
      </c>
      <c r="E77" s="1" t="s">
        <v>17</v>
      </c>
      <c r="F77" s="1">
        <v>786</v>
      </c>
      <c r="G77" s="1" t="s">
        <v>19</v>
      </c>
      <c r="H77" s="1" t="s">
        <v>310</v>
      </c>
      <c r="I77" s="1" t="s">
        <v>311</v>
      </c>
      <c r="J77" s="1" t="s">
        <v>312</v>
      </c>
      <c r="K77" s="1" t="s">
        <v>313</v>
      </c>
      <c r="L77" s="1">
        <v>139</v>
      </c>
      <c r="M77" s="1" t="s">
        <v>24</v>
      </c>
      <c r="N77" s="3">
        <v>45341.368703703702</v>
      </c>
      <c r="O77" s="1" t="s">
        <v>25</v>
      </c>
      <c r="P77" s="1" t="s">
        <v>26</v>
      </c>
    </row>
    <row r="78" spans="1:16" ht="14.25" customHeight="1">
      <c r="A78" s="1">
        <v>135490</v>
      </c>
      <c r="B78" s="1" t="s">
        <v>49</v>
      </c>
      <c r="C78" s="1" t="s">
        <v>17</v>
      </c>
      <c r="D78" s="1" t="s">
        <v>18</v>
      </c>
      <c r="E78" s="1" t="s">
        <v>17</v>
      </c>
      <c r="F78" s="1">
        <v>1094</v>
      </c>
      <c r="G78" s="1" t="s">
        <v>19</v>
      </c>
      <c r="H78" s="1" t="s">
        <v>314</v>
      </c>
      <c r="I78" s="1" t="s">
        <v>315</v>
      </c>
      <c r="J78" s="1" t="s">
        <v>316</v>
      </c>
      <c r="K78" s="1" t="s">
        <v>317</v>
      </c>
      <c r="L78" s="1">
        <v>139</v>
      </c>
      <c r="M78" s="1" t="s">
        <v>24</v>
      </c>
      <c r="N78" s="3">
        <v>45341.368703703702</v>
      </c>
      <c r="O78" s="1" t="s">
        <v>25</v>
      </c>
      <c r="P78" s="1" t="s">
        <v>26</v>
      </c>
    </row>
    <row r="79" spans="1:16" ht="14.25" customHeight="1">
      <c r="A79" s="1">
        <v>125408</v>
      </c>
      <c r="B79" s="1" t="s">
        <v>31</v>
      </c>
      <c r="C79" s="1" t="s">
        <v>32</v>
      </c>
      <c r="D79" s="1" t="s">
        <v>18</v>
      </c>
      <c r="E79" s="1" t="s">
        <v>32</v>
      </c>
      <c r="F79" s="1">
        <v>2220</v>
      </c>
      <c r="G79" s="1" t="s">
        <v>19</v>
      </c>
      <c r="H79" s="1" t="s">
        <v>318</v>
      </c>
      <c r="I79" s="1" t="s">
        <v>319</v>
      </c>
      <c r="J79" s="1" t="s">
        <v>147</v>
      </c>
      <c r="K79" s="1" t="s">
        <v>148</v>
      </c>
      <c r="L79" s="1">
        <v>89.9</v>
      </c>
      <c r="M79" s="1" t="s">
        <v>24</v>
      </c>
      <c r="N79" s="3">
        <v>45341.368715277778</v>
      </c>
      <c r="O79" s="1" t="s">
        <v>25</v>
      </c>
      <c r="P79" s="1" t="s">
        <v>26</v>
      </c>
    </row>
    <row r="80" spans="1:16" ht="14.25" customHeight="1">
      <c r="A80" s="1">
        <v>134763</v>
      </c>
      <c r="B80" s="1" t="s">
        <v>49</v>
      </c>
      <c r="C80" s="1" t="s">
        <v>17</v>
      </c>
      <c r="D80" s="1" t="s">
        <v>18</v>
      </c>
      <c r="E80" s="1" t="s">
        <v>32</v>
      </c>
      <c r="F80" s="1">
        <v>2048</v>
      </c>
      <c r="G80" s="1" t="s">
        <v>19</v>
      </c>
      <c r="H80" s="1" t="s">
        <v>320</v>
      </c>
      <c r="I80" s="1" t="s">
        <v>321</v>
      </c>
      <c r="J80" s="1" t="s">
        <v>322</v>
      </c>
      <c r="K80" s="1" t="s">
        <v>323</v>
      </c>
      <c r="L80" s="1">
        <v>89.9</v>
      </c>
      <c r="M80" s="1" t="s">
        <v>24</v>
      </c>
      <c r="N80" s="3">
        <v>45341.368726851855</v>
      </c>
      <c r="O80" s="1" t="s">
        <v>25</v>
      </c>
      <c r="P80" s="1" t="s">
        <v>26</v>
      </c>
    </row>
    <row r="81" spans="1:16" ht="14.25" customHeight="1">
      <c r="A81" s="1">
        <v>143231</v>
      </c>
      <c r="B81" s="1" t="s">
        <v>16</v>
      </c>
      <c r="C81" s="1" t="s">
        <v>17</v>
      </c>
      <c r="D81" s="1" t="s">
        <v>18</v>
      </c>
      <c r="E81" s="1" t="s">
        <v>17</v>
      </c>
      <c r="F81" s="1">
        <v>2578</v>
      </c>
      <c r="G81" s="1" t="s">
        <v>19</v>
      </c>
      <c r="H81" s="1" t="s">
        <v>324</v>
      </c>
      <c r="I81" s="1" t="s">
        <v>325</v>
      </c>
      <c r="J81" s="1" t="s">
        <v>312</v>
      </c>
      <c r="K81" s="1" t="s">
        <v>326</v>
      </c>
      <c r="L81" s="1">
        <v>89.9</v>
      </c>
      <c r="M81" s="1" t="s">
        <v>24</v>
      </c>
      <c r="N81" s="3">
        <v>45341.368726851855</v>
      </c>
      <c r="O81" s="1" t="s">
        <v>25</v>
      </c>
      <c r="P81" s="1" t="s">
        <v>26</v>
      </c>
    </row>
    <row r="82" spans="1:16" ht="14.25" customHeight="1">
      <c r="A82" s="1">
        <v>125409</v>
      </c>
      <c r="B82" s="1" t="s">
        <v>31</v>
      </c>
      <c r="C82" s="1" t="s">
        <v>32</v>
      </c>
      <c r="D82" s="1" t="s">
        <v>18</v>
      </c>
      <c r="E82" s="1" t="s">
        <v>17</v>
      </c>
      <c r="F82" s="1">
        <v>2040</v>
      </c>
      <c r="G82" s="1" t="s">
        <v>19</v>
      </c>
      <c r="H82" s="1" t="s">
        <v>327</v>
      </c>
      <c r="I82" s="1" t="s">
        <v>328</v>
      </c>
      <c r="J82" s="1" t="s">
        <v>329</v>
      </c>
      <c r="K82" s="1" t="s">
        <v>330</v>
      </c>
      <c r="L82" s="1">
        <v>89.9</v>
      </c>
      <c r="M82" s="1" t="s">
        <v>24</v>
      </c>
      <c r="N82" s="3">
        <v>45341.368738425925</v>
      </c>
      <c r="O82" s="1" t="s">
        <v>25</v>
      </c>
      <c r="P82" s="1" t="s">
        <v>26</v>
      </c>
    </row>
    <row r="83" spans="1:16" ht="14.25" customHeight="1">
      <c r="A83" s="1">
        <v>183074</v>
      </c>
      <c r="B83" s="1" t="s">
        <v>16</v>
      </c>
      <c r="C83" s="1" t="s">
        <v>17</v>
      </c>
      <c r="D83" s="1" t="s">
        <v>18</v>
      </c>
      <c r="E83" s="1" t="s">
        <v>17</v>
      </c>
      <c r="F83" s="1">
        <v>2791</v>
      </c>
      <c r="G83" s="1" t="s">
        <v>19</v>
      </c>
      <c r="H83" s="1" t="s">
        <v>331</v>
      </c>
      <c r="I83" s="1" t="s">
        <v>332</v>
      </c>
      <c r="J83" s="1" t="s">
        <v>333</v>
      </c>
      <c r="K83" s="1" t="s">
        <v>334</v>
      </c>
      <c r="L83" s="1">
        <v>89.9</v>
      </c>
      <c r="M83" s="1" t="s">
        <v>24</v>
      </c>
      <c r="N83" s="3">
        <v>45341.368738425925</v>
      </c>
      <c r="O83" s="1" t="s">
        <v>25</v>
      </c>
      <c r="P83" s="1" t="s">
        <v>26</v>
      </c>
    </row>
    <row r="84" spans="1:16" ht="14.25" customHeight="1">
      <c r="A84" s="1">
        <v>147947</v>
      </c>
      <c r="B84" s="1" t="s">
        <v>16</v>
      </c>
      <c r="C84" s="1" t="s">
        <v>32</v>
      </c>
      <c r="D84" s="1" t="s">
        <v>18</v>
      </c>
      <c r="E84" s="1" t="s">
        <v>32</v>
      </c>
      <c r="F84" s="1">
        <v>1249</v>
      </c>
      <c r="G84" s="1" t="s">
        <v>19</v>
      </c>
      <c r="H84" s="1" t="s">
        <v>335</v>
      </c>
      <c r="I84" s="1" t="s">
        <v>336</v>
      </c>
      <c r="J84" s="1" t="s">
        <v>337</v>
      </c>
      <c r="K84" s="1" t="s">
        <v>338</v>
      </c>
      <c r="L84" s="1">
        <v>89.9</v>
      </c>
      <c r="M84" s="1" t="s">
        <v>24</v>
      </c>
      <c r="N84" s="3">
        <v>45341.368750000001</v>
      </c>
      <c r="O84" s="1" t="s">
        <v>25</v>
      </c>
      <c r="P84" s="1" t="s">
        <v>26</v>
      </c>
    </row>
    <row r="85" spans="1:16" ht="14.25" customHeight="1">
      <c r="A85" s="1">
        <v>174171</v>
      </c>
      <c r="B85" s="1" t="s">
        <v>49</v>
      </c>
      <c r="C85" s="1" t="s">
        <v>32</v>
      </c>
      <c r="D85" s="1" t="s">
        <v>18</v>
      </c>
      <c r="E85" s="1" t="s">
        <v>32</v>
      </c>
      <c r="F85" s="1">
        <v>2273</v>
      </c>
      <c r="G85" s="1" t="s">
        <v>19</v>
      </c>
      <c r="H85" s="1" t="s">
        <v>339</v>
      </c>
      <c r="I85" s="1" t="s">
        <v>340</v>
      </c>
      <c r="J85" s="1" t="s">
        <v>341</v>
      </c>
      <c r="K85" s="1" t="s">
        <v>342</v>
      </c>
      <c r="L85" s="1">
        <v>89.9</v>
      </c>
      <c r="M85" s="1" t="s">
        <v>24</v>
      </c>
      <c r="N85" s="3">
        <v>45341.368750000001</v>
      </c>
      <c r="O85" s="1" t="s">
        <v>25</v>
      </c>
      <c r="P85" s="1" t="s">
        <v>26</v>
      </c>
    </row>
    <row r="86" spans="1:16" ht="14.25" customHeight="1">
      <c r="A86" s="1">
        <v>183064</v>
      </c>
      <c r="B86" s="1" t="s">
        <v>49</v>
      </c>
      <c r="C86" s="1" t="s">
        <v>32</v>
      </c>
      <c r="D86" s="1" t="s">
        <v>18</v>
      </c>
      <c r="E86" s="1" t="s">
        <v>17</v>
      </c>
      <c r="F86" s="1">
        <v>1773</v>
      </c>
      <c r="G86" s="1" t="s">
        <v>19</v>
      </c>
      <c r="H86" s="1" t="s">
        <v>343</v>
      </c>
      <c r="I86" s="1" t="s">
        <v>344</v>
      </c>
      <c r="J86" s="1" t="s">
        <v>345</v>
      </c>
      <c r="K86" s="1" t="s">
        <v>346</v>
      </c>
      <c r="L86" s="1">
        <v>89.9</v>
      </c>
      <c r="M86" s="1" t="s">
        <v>24</v>
      </c>
      <c r="N86" s="3">
        <v>45341.368750000001</v>
      </c>
      <c r="O86" s="1" t="s">
        <v>25</v>
      </c>
      <c r="P86" s="1" t="s">
        <v>26</v>
      </c>
    </row>
    <row r="87" spans="1:16" ht="14.25" customHeight="1">
      <c r="A87" s="1">
        <v>177131</v>
      </c>
      <c r="B87" s="1" t="s">
        <v>16</v>
      </c>
      <c r="C87" s="1" t="s">
        <v>32</v>
      </c>
      <c r="D87" s="1" t="s">
        <v>18</v>
      </c>
      <c r="E87" s="1" t="s">
        <v>32</v>
      </c>
      <c r="F87" s="1">
        <v>1733</v>
      </c>
      <c r="G87" s="1" t="s">
        <v>19</v>
      </c>
      <c r="H87" s="1" t="s">
        <v>347</v>
      </c>
      <c r="I87" s="1" t="s">
        <v>348</v>
      </c>
      <c r="J87" s="1" t="s">
        <v>349</v>
      </c>
      <c r="K87" s="1" t="s">
        <v>350</v>
      </c>
      <c r="L87" s="1">
        <v>69.900000000000006</v>
      </c>
      <c r="M87" s="1" t="s">
        <v>24</v>
      </c>
      <c r="N87" s="3">
        <v>45341.368761574071</v>
      </c>
      <c r="O87" s="1" t="s">
        <v>25</v>
      </c>
      <c r="P87" s="1" t="s">
        <v>26</v>
      </c>
    </row>
    <row r="88" spans="1:16" ht="14.25" customHeight="1">
      <c r="A88" s="1">
        <v>128179</v>
      </c>
      <c r="B88" s="1" t="s">
        <v>31</v>
      </c>
      <c r="C88" s="1" t="s">
        <v>32</v>
      </c>
      <c r="D88" s="1" t="s">
        <v>18</v>
      </c>
      <c r="E88" s="1" t="s">
        <v>17</v>
      </c>
      <c r="F88" s="1">
        <v>2060</v>
      </c>
      <c r="G88" s="1" t="s">
        <v>19</v>
      </c>
      <c r="H88" s="1" t="s">
        <v>351</v>
      </c>
      <c r="I88" s="1" t="s">
        <v>352</v>
      </c>
      <c r="J88" s="1" t="s">
        <v>353</v>
      </c>
      <c r="K88" s="1" t="s">
        <v>354</v>
      </c>
      <c r="L88" s="1">
        <v>89.9</v>
      </c>
      <c r="M88" s="1" t="s">
        <v>24</v>
      </c>
      <c r="N88" s="3">
        <v>45341.368784722225</v>
      </c>
      <c r="O88" s="1" t="s">
        <v>25</v>
      </c>
      <c r="P88" s="1" t="s">
        <v>26</v>
      </c>
    </row>
    <row r="89" spans="1:16" ht="14.25" customHeight="1">
      <c r="A89" s="1">
        <v>152723</v>
      </c>
      <c r="B89" s="1" t="s">
        <v>16</v>
      </c>
      <c r="C89" s="1" t="s">
        <v>17</v>
      </c>
      <c r="D89" s="1" t="s">
        <v>18</v>
      </c>
      <c r="E89" s="1" t="s">
        <v>32</v>
      </c>
      <c r="F89" s="1">
        <v>2849</v>
      </c>
      <c r="G89" s="1" t="s">
        <v>19</v>
      </c>
      <c r="H89" s="1" t="s">
        <v>355</v>
      </c>
      <c r="I89" s="1" t="s">
        <v>356</v>
      </c>
      <c r="J89" s="1" t="s">
        <v>357</v>
      </c>
      <c r="K89" s="1" t="s">
        <v>358</v>
      </c>
      <c r="L89" s="1">
        <v>169</v>
      </c>
      <c r="M89" s="1" t="s">
        <v>24</v>
      </c>
      <c r="N89" s="3">
        <v>45341.368796296294</v>
      </c>
      <c r="O89" s="1" t="s">
        <v>25</v>
      </c>
      <c r="P89" s="1" t="s">
        <v>26</v>
      </c>
    </row>
    <row r="90" spans="1:16" ht="14.25" customHeight="1">
      <c r="A90" s="1">
        <v>123824</v>
      </c>
      <c r="B90" s="1" t="s">
        <v>16</v>
      </c>
      <c r="C90" s="1" t="s">
        <v>32</v>
      </c>
      <c r="D90" s="1" t="s">
        <v>18</v>
      </c>
      <c r="E90" s="1" t="s">
        <v>17</v>
      </c>
      <c r="F90" s="1">
        <v>2277</v>
      </c>
      <c r="G90" s="1" t="s">
        <v>19</v>
      </c>
      <c r="H90" s="1" t="s">
        <v>359</v>
      </c>
      <c r="I90" s="1" t="s">
        <v>360</v>
      </c>
      <c r="J90" s="1" t="s">
        <v>361</v>
      </c>
      <c r="K90" s="1" t="s">
        <v>362</v>
      </c>
      <c r="L90" s="1">
        <v>169</v>
      </c>
      <c r="M90" s="1" t="s">
        <v>24</v>
      </c>
      <c r="N90" s="3">
        <v>45341.368796296294</v>
      </c>
      <c r="O90" s="1" t="s">
        <v>25</v>
      </c>
      <c r="P90" s="1" t="s">
        <v>26</v>
      </c>
    </row>
    <row r="91" spans="1:16" ht="14.25" customHeight="1">
      <c r="A91" s="1">
        <v>166345</v>
      </c>
      <c r="B91" s="1" t="s">
        <v>16</v>
      </c>
      <c r="C91" s="1" t="s">
        <v>17</v>
      </c>
      <c r="D91" s="1" t="s">
        <v>18</v>
      </c>
      <c r="E91" s="1" t="s">
        <v>32</v>
      </c>
      <c r="F91" s="1">
        <v>1135</v>
      </c>
      <c r="G91" s="1" t="s">
        <v>19</v>
      </c>
      <c r="H91" s="1" t="s">
        <v>363</v>
      </c>
      <c r="I91" s="1" t="s">
        <v>364</v>
      </c>
      <c r="J91" s="1" t="s">
        <v>365</v>
      </c>
      <c r="K91" s="1" t="s">
        <v>366</v>
      </c>
      <c r="L91" s="1">
        <v>69.900000000000006</v>
      </c>
      <c r="M91" s="1" t="s">
        <v>24</v>
      </c>
      <c r="N91" s="3">
        <v>45341.368807870371</v>
      </c>
      <c r="O91" s="1" t="s">
        <v>25</v>
      </c>
      <c r="P91" s="1" t="s">
        <v>26</v>
      </c>
    </row>
    <row r="92" spans="1:16" ht="14.25" customHeight="1">
      <c r="A92" s="1">
        <v>199279</v>
      </c>
      <c r="B92" s="1" t="s">
        <v>16</v>
      </c>
      <c r="C92" s="1" t="s">
        <v>17</v>
      </c>
      <c r="D92" s="1" t="s">
        <v>18</v>
      </c>
      <c r="E92" s="1" t="s">
        <v>17</v>
      </c>
      <c r="F92" s="1">
        <v>1770</v>
      </c>
      <c r="G92" s="1" t="s">
        <v>19</v>
      </c>
      <c r="H92" s="1" t="s">
        <v>367</v>
      </c>
      <c r="I92" s="1" t="s">
        <v>368</v>
      </c>
      <c r="J92" s="1" t="s">
        <v>369</v>
      </c>
      <c r="K92" s="1" t="s">
        <v>370</v>
      </c>
      <c r="L92" s="1">
        <v>19.989999999999998</v>
      </c>
      <c r="M92" s="1" t="s">
        <v>24</v>
      </c>
      <c r="N92" s="3">
        <v>45341.368807870371</v>
      </c>
      <c r="O92" s="1" t="s">
        <v>25</v>
      </c>
      <c r="P92" s="1" t="s">
        <v>26</v>
      </c>
    </row>
    <row r="93" spans="1:16" ht="14.25" customHeight="1">
      <c r="A93" s="1">
        <v>167981</v>
      </c>
      <c r="B93" s="1" t="s">
        <v>31</v>
      </c>
      <c r="C93" s="1" t="s">
        <v>17</v>
      </c>
      <c r="D93" s="1" t="s">
        <v>18</v>
      </c>
      <c r="E93" s="1" t="s">
        <v>17</v>
      </c>
      <c r="F93" s="1">
        <v>730</v>
      </c>
      <c r="G93" s="1" t="s">
        <v>19</v>
      </c>
      <c r="H93" s="1" t="s">
        <v>371</v>
      </c>
      <c r="I93" s="1" t="s">
        <v>372</v>
      </c>
      <c r="J93" s="1" t="s">
        <v>373</v>
      </c>
      <c r="K93" s="1" t="s">
        <v>374</v>
      </c>
      <c r="L93" s="1">
        <v>139</v>
      </c>
      <c r="M93" s="1" t="s">
        <v>24</v>
      </c>
      <c r="N93" s="3">
        <v>45341.368819444448</v>
      </c>
      <c r="O93" s="1" t="s">
        <v>25</v>
      </c>
      <c r="P93" s="1" t="s">
        <v>26</v>
      </c>
    </row>
    <row r="94" spans="1:16" ht="14.25" customHeight="1">
      <c r="A94" s="1">
        <v>146839</v>
      </c>
      <c r="B94" s="1" t="s">
        <v>16</v>
      </c>
      <c r="C94" s="1" t="s">
        <v>17</v>
      </c>
      <c r="D94" s="1" t="s">
        <v>18</v>
      </c>
      <c r="E94" s="1" t="s">
        <v>17</v>
      </c>
      <c r="F94" s="1">
        <v>1525</v>
      </c>
      <c r="G94" s="1" t="s">
        <v>19</v>
      </c>
      <c r="H94" s="1" t="s">
        <v>375</v>
      </c>
      <c r="I94" s="1" t="s">
        <v>376</v>
      </c>
      <c r="J94" s="1" t="s">
        <v>164</v>
      </c>
      <c r="K94" s="1" t="s">
        <v>377</v>
      </c>
      <c r="L94" s="1">
        <v>109</v>
      </c>
      <c r="M94" s="1" t="s">
        <v>24</v>
      </c>
      <c r="N94" s="3">
        <v>45341.368819444448</v>
      </c>
      <c r="O94" s="1" t="s">
        <v>25</v>
      </c>
      <c r="P94" s="1" t="s">
        <v>26</v>
      </c>
    </row>
    <row r="95" spans="1:16" ht="14.25" customHeight="1">
      <c r="A95" s="1">
        <v>187180</v>
      </c>
      <c r="B95" s="1" t="s">
        <v>49</v>
      </c>
      <c r="C95" s="1" t="s">
        <v>17</v>
      </c>
      <c r="D95" s="1" t="s">
        <v>18</v>
      </c>
      <c r="E95" s="1" t="s">
        <v>32</v>
      </c>
      <c r="F95" s="1">
        <v>647</v>
      </c>
      <c r="G95" s="1" t="s">
        <v>19</v>
      </c>
      <c r="H95" s="1" t="s">
        <v>378</v>
      </c>
      <c r="I95" s="1" t="s">
        <v>379</v>
      </c>
      <c r="J95" s="1" t="s">
        <v>369</v>
      </c>
      <c r="K95" s="1" t="s">
        <v>380</v>
      </c>
      <c r="L95" s="1">
        <v>109</v>
      </c>
      <c r="M95" s="1" t="s">
        <v>24</v>
      </c>
      <c r="N95" s="3">
        <v>45341.368831018517</v>
      </c>
      <c r="O95" s="1" t="s">
        <v>25</v>
      </c>
      <c r="P95" s="1" t="s">
        <v>26</v>
      </c>
    </row>
    <row r="96" spans="1:16" ht="14.25" customHeight="1">
      <c r="A96" s="1">
        <v>167640</v>
      </c>
      <c r="B96" s="1" t="s">
        <v>31</v>
      </c>
      <c r="C96" s="1" t="s">
        <v>32</v>
      </c>
      <c r="D96" s="1" t="s">
        <v>18</v>
      </c>
      <c r="E96" s="1" t="s">
        <v>32</v>
      </c>
      <c r="F96" s="1">
        <v>1017</v>
      </c>
      <c r="G96" s="1" t="s">
        <v>19</v>
      </c>
      <c r="H96" s="1" t="s">
        <v>381</v>
      </c>
      <c r="I96" s="1" t="s">
        <v>382</v>
      </c>
      <c r="J96" s="1" t="s">
        <v>369</v>
      </c>
      <c r="K96" s="1" t="s">
        <v>383</v>
      </c>
      <c r="L96" s="1">
        <v>109</v>
      </c>
      <c r="M96" s="1" t="s">
        <v>24</v>
      </c>
      <c r="N96" s="3">
        <v>45341.368831018517</v>
      </c>
      <c r="O96" s="1" t="s">
        <v>25</v>
      </c>
      <c r="P96" s="1" t="s">
        <v>26</v>
      </c>
    </row>
    <row r="97" spans="1:16" ht="14.25" customHeight="1">
      <c r="A97" s="1">
        <v>165158</v>
      </c>
      <c r="B97" s="1" t="s">
        <v>49</v>
      </c>
      <c r="C97" s="1" t="s">
        <v>17</v>
      </c>
      <c r="D97" s="1" t="s">
        <v>18</v>
      </c>
      <c r="E97" s="1" t="s">
        <v>17</v>
      </c>
      <c r="F97" s="1">
        <v>1622</v>
      </c>
      <c r="G97" s="1" t="s">
        <v>19</v>
      </c>
      <c r="H97" s="1" t="s">
        <v>384</v>
      </c>
      <c r="I97" s="1" t="s">
        <v>385</v>
      </c>
      <c r="J97" s="1" t="s">
        <v>386</v>
      </c>
      <c r="K97" s="1" t="s">
        <v>387</v>
      </c>
      <c r="L97" s="1">
        <v>109</v>
      </c>
      <c r="M97" s="1" t="s">
        <v>24</v>
      </c>
      <c r="N97" s="3">
        <v>45341.368842592594</v>
      </c>
      <c r="O97" s="1" t="s">
        <v>25</v>
      </c>
      <c r="P97" s="1" t="s">
        <v>26</v>
      </c>
    </row>
    <row r="98" spans="1:16" ht="14.25" customHeight="1">
      <c r="A98" s="1">
        <v>111521</v>
      </c>
      <c r="B98" s="1" t="s">
        <v>49</v>
      </c>
      <c r="C98" s="1" t="s">
        <v>32</v>
      </c>
      <c r="D98" s="1" t="s">
        <v>18</v>
      </c>
      <c r="E98" s="1" t="s">
        <v>32</v>
      </c>
      <c r="F98" s="1">
        <v>2553</v>
      </c>
      <c r="G98" s="1" t="s">
        <v>19</v>
      </c>
      <c r="H98" s="1" t="s">
        <v>388</v>
      </c>
      <c r="I98" s="1" t="s">
        <v>389</v>
      </c>
      <c r="J98" s="1" t="s">
        <v>390</v>
      </c>
      <c r="K98" s="1" t="s">
        <v>391</v>
      </c>
      <c r="L98" s="1">
        <v>99.9</v>
      </c>
      <c r="M98" s="1" t="s">
        <v>24</v>
      </c>
      <c r="N98" s="3">
        <v>45341.368842592594</v>
      </c>
      <c r="O98" s="1" t="s">
        <v>25</v>
      </c>
      <c r="P98" s="1" t="s">
        <v>26</v>
      </c>
    </row>
    <row r="99" spans="1:16" ht="14.25" customHeight="1">
      <c r="A99" s="1">
        <v>120228</v>
      </c>
      <c r="B99" s="1" t="s">
        <v>31</v>
      </c>
      <c r="C99" s="1" t="s">
        <v>17</v>
      </c>
      <c r="D99" s="1" t="s">
        <v>18</v>
      </c>
      <c r="E99" s="1" t="s">
        <v>17</v>
      </c>
      <c r="F99" s="1">
        <v>2347</v>
      </c>
      <c r="G99" s="1" t="s">
        <v>19</v>
      </c>
      <c r="H99" s="1" t="s">
        <v>392</v>
      </c>
      <c r="I99" s="1" t="s">
        <v>393</v>
      </c>
      <c r="J99" s="1" t="s">
        <v>64</v>
      </c>
      <c r="K99" s="1" t="s">
        <v>394</v>
      </c>
      <c r="L99" s="1">
        <v>89.9</v>
      </c>
      <c r="M99" s="1" t="s">
        <v>24</v>
      </c>
      <c r="N99" s="3">
        <v>45341.368854166663</v>
      </c>
      <c r="O99" s="1" t="s">
        <v>25</v>
      </c>
      <c r="P99" s="1" t="s">
        <v>26</v>
      </c>
    </row>
    <row r="100" spans="1:16" ht="14.25" customHeight="1">
      <c r="A100" s="1">
        <v>133078</v>
      </c>
      <c r="B100" s="1" t="s">
        <v>16</v>
      </c>
      <c r="C100" s="1" t="s">
        <v>17</v>
      </c>
      <c r="D100" s="1" t="s">
        <v>18</v>
      </c>
      <c r="E100" s="1" t="s">
        <v>32</v>
      </c>
      <c r="F100" s="1">
        <v>2535</v>
      </c>
      <c r="G100" s="1" t="s">
        <v>19</v>
      </c>
      <c r="H100" s="1" t="s">
        <v>395</v>
      </c>
      <c r="I100" s="1" t="s">
        <v>396</v>
      </c>
      <c r="J100" s="1" t="s">
        <v>322</v>
      </c>
      <c r="K100" s="1" t="s">
        <v>397</v>
      </c>
      <c r="L100" s="1">
        <v>69.900000000000006</v>
      </c>
      <c r="M100" s="1" t="s">
        <v>24</v>
      </c>
      <c r="N100" s="3">
        <v>45341.36886574074</v>
      </c>
      <c r="O100" s="1" t="s">
        <v>25</v>
      </c>
      <c r="P100" s="1" t="s">
        <v>26</v>
      </c>
    </row>
    <row r="101" spans="1:16" ht="14.25" customHeight="1">
      <c r="A101" s="1">
        <v>137598</v>
      </c>
      <c r="B101" s="1" t="s">
        <v>16</v>
      </c>
      <c r="C101" s="1" t="s">
        <v>17</v>
      </c>
      <c r="D101" s="1" t="s">
        <v>18</v>
      </c>
      <c r="E101" s="1" t="s">
        <v>32</v>
      </c>
      <c r="F101" s="1">
        <v>2839</v>
      </c>
      <c r="G101" s="1" t="s">
        <v>19</v>
      </c>
      <c r="H101" s="1" t="s">
        <v>398</v>
      </c>
      <c r="I101" s="1" t="s">
        <v>399</v>
      </c>
      <c r="J101" s="1" t="s">
        <v>242</v>
      </c>
      <c r="K101" s="1" t="s">
        <v>400</v>
      </c>
      <c r="L101" s="1">
        <v>139</v>
      </c>
      <c r="M101" s="1" t="s">
        <v>24</v>
      </c>
      <c r="N101" s="3">
        <v>45341.368935185186</v>
      </c>
      <c r="O101" s="1" t="s">
        <v>25</v>
      </c>
      <c r="P101" s="1" t="s">
        <v>26</v>
      </c>
    </row>
    <row r="102" spans="1:16" ht="14.25" customHeight="1">
      <c r="A102" s="1">
        <v>138779</v>
      </c>
      <c r="B102" s="1" t="s">
        <v>49</v>
      </c>
      <c r="C102" s="1" t="s">
        <v>32</v>
      </c>
      <c r="D102" s="1" t="s">
        <v>18</v>
      </c>
      <c r="E102" s="1" t="s">
        <v>32</v>
      </c>
      <c r="F102" s="1">
        <v>2801</v>
      </c>
      <c r="G102" s="1" t="s">
        <v>19</v>
      </c>
      <c r="H102" s="1" t="s">
        <v>401</v>
      </c>
      <c r="I102" s="1" t="s">
        <v>402</v>
      </c>
      <c r="J102" s="1" t="s">
        <v>35</v>
      </c>
      <c r="K102" s="1" t="s">
        <v>40</v>
      </c>
      <c r="L102" s="1">
        <v>139</v>
      </c>
      <c r="M102" s="1" t="s">
        <v>24</v>
      </c>
      <c r="N102" s="3">
        <v>45341.368946759256</v>
      </c>
      <c r="O102" s="1" t="s">
        <v>25</v>
      </c>
      <c r="P102" s="1" t="s">
        <v>26</v>
      </c>
    </row>
    <row r="103" spans="1:16" ht="14.25" customHeight="1">
      <c r="A103" s="1">
        <v>198329</v>
      </c>
      <c r="B103" s="1" t="s">
        <v>49</v>
      </c>
      <c r="C103" s="1" t="s">
        <v>32</v>
      </c>
      <c r="D103" s="1" t="s">
        <v>18</v>
      </c>
      <c r="E103" s="1" t="s">
        <v>32</v>
      </c>
      <c r="F103" s="1">
        <v>628</v>
      </c>
      <c r="G103" s="1" t="s">
        <v>19</v>
      </c>
      <c r="H103" s="1" t="s">
        <v>403</v>
      </c>
      <c r="I103" s="1" t="s">
        <v>404</v>
      </c>
      <c r="J103" s="1" t="s">
        <v>405</v>
      </c>
      <c r="K103" s="1" t="s">
        <v>406</v>
      </c>
      <c r="L103" s="1">
        <v>109</v>
      </c>
      <c r="M103" s="1" t="s">
        <v>24</v>
      </c>
      <c r="N103" s="3">
        <v>45341.368946759256</v>
      </c>
      <c r="O103" s="1" t="s">
        <v>25</v>
      </c>
      <c r="P103" s="1" t="s">
        <v>26</v>
      </c>
    </row>
    <row r="104" spans="1:16" ht="14.25" customHeight="1">
      <c r="A104" s="1">
        <v>110295</v>
      </c>
      <c r="B104" s="1" t="s">
        <v>31</v>
      </c>
      <c r="C104" s="1" t="s">
        <v>32</v>
      </c>
      <c r="D104" s="1" t="s">
        <v>18</v>
      </c>
      <c r="E104" s="1" t="s">
        <v>17</v>
      </c>
      <c r="F104" s="1">
        <v>1448</v>
      </c>
      <c r="G104" s="1" t="s">
        <v>19</v>
      </c>
      <c r="H104" s="1" t="s">
        <v>407</v>
      </c>
      <c r="I104" s="1" t="s">
        <v>408</v>
      </c>
      <c r="J104" s="1" t="s">
        <v>409</v>
      </c>
      <c r="K104" s="1" t="s">
        <v>410</v>
      </c>
      <c r="L104" s="1">
        <v>129</v>
      </c>
      <c r="M104" s="1" t="s">
        <v>24</v>
      </c>
      <c r="N104" s="3">
        <v>45341.368946759256</v>
      </c>
      <c r="O104" s="1" t="s">
        <v>25</v>
      </c>
      <c r="P104" s="1" t="s">
        <v>26</v>
      </c>
    </row>
    <row r="105" spans="1:16" ht="14.25" customHeight="1">
      <c r="A105" s="1">
        <v>196427</v>
      </c>
      <c r="B105" s="1" t="s">
        <v>16</v>
      </c>
      <c r="C105" s="1" t="s">
        <v>32</v>
      </c>
      <c r="D105" s="1" t="s">
        <v>18</v>
      </c>
      <c r="E105" s="1" t="s">
        <v>17</v>
      </c>
      <c r="F105" s="1">
        <v>1401</v>
      </c>
      <c r="G105" s="1" t="s">
        <v>19</v>
      </c>
      <c r="H105" s="1" t="s">
        <v>411</v>
      </c>
      <c r="I105" s="1" t="s">
        <v>412</v>
      </c>
      <c r="J105" s="1" t="s">
        <v>413</v>
      </c>
      <c r="K105" s="1" t="s">
        <v>414</v>
      </c>
      <c r="L105" s="1">
        <v>169</v>
      </c>
      <c r="M105" s="1" t="s">
        <v>24</v>
      </c>
      <c r="N105" s="3">
        <v>45341.368958333333</v>
      </c>
      <c r="O105" s="1" t="s">
        <v>25</v>
      </c>
      <c r="P105" s="1" t="s">
        <v>26</v>
      </c>
    </row>
    <row r="106" spans="1:16" ht="14.25" customHeight="1">
      <c r="A106" s="1">
        <v>110075</v>
      </c>
      <c r="B106" s="1" t="s">
        <v>49</v>
      </c>
      <c r="C106" s="1" t="s">
        <v>32</v>
      </c>
      <c r="D106" s="1" t="s">
        <v>18</v>
      </c>
      <c r="E106" s="1" t="s">
        <v>32</v>
      </c>
      <c r="F106" s="1">
        <v>2185</v>
      </c>
      <c r="G106" s="1" t="s">
        <v>19</v>
      </c>
      <c r="H106" s="1" t="s">
        <v>415</v>
      </c>
      <c r="I106" s="1" t="s">
        <v>416</v>
      </c>
      <c r="J106" s="1" t="s">
        <v>417</v>
      </c>
      <c r="K106" s="1" t="s">
        <v>418</v>
      </c>
      <c r="L106" s="1">
        <v>159</v>
      </c>
      <c r="M106" s="1" t="s">
        <v>24</v>
      </c>
      <c r="N106" s="3">
        <v>45341.368958333333</v>
      </c>
      <c r="O106" s="1" t="s">
        <v>25</v>
      </c>
      <c r="P106" s="1" t="s">
        <v>26</v>
      </c>
    </row>
    <row r="107" spans="1:16" ht="14.25" customHeight="1">
      <c r="A107" s="1">
        <v>132322</v>
      </c>
      <c r="B107" s="1" t="s">
        <v>49</v>
      </c>
      <c r="C107" s="1" t="s">
        <v>32</v>
      </c>
      <c r="D107" s="1" t="s">
        <v>18</v>
      </c>
      <c r="E107" s="1" t="s">
        <v>17</v>
      </c>
      <c r="F107" s="1">
        <v>2135</v>
      </c>
      <c r="G107" s="1" t="s">
        <v>19</v>
      </c>
      <c r="H107" s="1" t="s">
        <v>419</v>
      </c>
      <c r="I107" s="1" t="s">
        <v>420</v>
      </c>
      <c r="J107" s="1" t="s">
        <v>421</v>
      </c>
      <c r="K107" s="1" t="s">
        <v>422</v>
      </c>
      <c r="L107" s="1">
        <v>12.99</v>
      </c>
      <c r="M107" s="1" t="s">
        <v>24</v>
      </c>
      <c r="N107" s="3">
        <v>45341.369108796294</v>
      </c>
      <c r="O107" s="1" t="s">
        <v>25</v>
      </c>
      <c r="P107" s="1" t="s">
        <v>26</v>
      </c>
    </row>
    <row r="108" spans="1:16" ht="14.25" customHeight="1">
      <c r="A108" s="1">
        <v>199631</v>
      </c>
      <c r="B108" s="1" t="s">
        <v>49</v>
      </c>
      <c r="C108" s="1" t="s">
        <v>32</v>
      </c>
      <c r="D108" s="1" t="s">
        <v>18</v>
      </c>
      <c r="E108" s="1" t="s">
        <v>17</v>
      </c>
      <c r="F108" s="1">
        <v>1269</v>
      </c>
      <c r="G108" s="1" t="s">
        <v>19</v>
      </c>
      <c r="H108" s="1" t="s">
        <v>423</v>
      </c>
      <c r="I108" s="1" t="s">
        <v>424</v>
      </c>
      <c r="J108" s="1" t="s">
        <v>425</v>
      </c>
      <c r="K108" s="1" t="s">
        <v>426</v>
      </c>
      <c r="L108" s="1">
        <v>89.9</v>
      </c>
      <c r="M108" s="1" t="s">
        <v>24</v>
      </c>
      <c r="N108" s="3">
        <v>45341.369120370371</v>
      </c>
      <c r="O108" s="1" t="s">
        <v>25</v>
      </c>
      <c r="P108" s="1" t="s">
        <v>26</v>
      </c>
    </row>
    <row r="109" spans="1:16" ht="14.25" customHeight="1">
      <c r="A109" s="1">
        <v>182306</v>
      </c>
      <c r="B109" s="1" t="s">
        <v>49</v>
      </c>
      <c r="C109" s="1" t="s">
        <v>17</v>
      </c>
      <c r="D109" s="1" t="s">
        <v>18</v>
      </c>
      <c r="E109" s="1" t="s">
        <v>17</v>
      </c>
      <c r="F109" s="1">
        <v>2805</v>
      </c>
      <c r="G109" s="1" t="s">
        <v>19</v>
      </c>
      <c r="H109" s="1" t="s">
        <v>427</v>
      </c>
      <c r="I109" s="1" t="s">
        <v>428</v>
      </c>
      <c r="J109" s="1" t="s">
        <v>429</v>
      </c>
      <c r="K109" s="1" t="s">
        <v>430</v>
      </c>
      <c r="L109" s="1">
        <v>89.9</v>
      </c>
      <c r="M109" s="1" t="s">
        <v>24</v>
      </c>
      <c r="N109" s="3">
        <v>45341.369120370371</v>
      </c>
      <c r="O109" s="1" t="s">
        <v>25</v>
      </c>
      <c r="P109" s="1" t="s">
        <v>26</v>
      </c>
    </row>
    <row r="110" spans="1:16" ht="14.25" customHeight="1">
      <c r="A110" s="1">
        <v>194915</v>
      </c>
      <c r="B110" s="1" t="s">
        <v>16</v>
      </c>
      <c r="C110" s="1" t="s">
        <v>32</v>
      </c>
      <c r="D110" s="1" t="s">
        <v>18</v>
      </c>
      <c r="E110" s="1" t="s">
        <v>17</v>
      </c>
      <c r="F110" s="1">
        <v>1796</v>
      </c>
      <c r="G110" s="1" t="s">
        <v>19</v>
      </c>
      <c r="H110" s="1" t="s">
        <v>431</v>
      </c>
      <c r="I110" s="1" t="s">
        <v>432</v>
      </c>
      <c r="J110" s="1" t="s">
        <v>433</v>
      </c>
      <c r="K110" s="1" t="s">
        <v>434</v>
      </c>
      <c r="L110" s="1">
        <v>79.900000000000006</v>
      </c>
      <c r="M110" s="1" t="s">
        <v>24</v>
      </c>
      <c r="N110" s="3">
        <v>45341.369131944448</v>
      </c>
      <c r="O110" s="1" t="s">
        <v>25</v>
      </c>
      <c r="P110" s="1" t="s">
        <v>26</v>
      </c>
    </row>
    <row r="111" spans="1:16" ht="14.25" customHeight="1">
      <c r="A111" s="1">
        <v>131298</v>
      </c>
      <c r="B111" s="1" t="s">
        <v>31</v>
      </c>
      <c r="C111" s="1" t="s">
        <v>32</v>
      </c>
      <c r="D111" s="1" t="s">
        <v>18</v>
      </c>
      <c r="E111" s="1" t="s">
        <v>17</v>
      </c>
      <c r="F111" s="1">
        <v>2133</v>
      </c>
      <c r="G111" s="1" t="s">
        <v>19</v>
      </c>
      <c r="H111" s="1" t="s">
        <v>435</v>
      </c>
      <c r="I111" s="1" t="s">
        <v>436</v>
      </c>
      <c r="J111" s="1" t="s">
        <v>437</v>
      </c>
      <c r="K111" s="1" t="s">
        <v>438</v>
      </c>
      <c r="L111" s="1">
        <v>69.900000000000006</v>
      </c>
      <c r="M111" s="1" t="s">
        <v>24</v>
      </c>
      <c r="N111" s="3">
        <v>45341.369131944448</v>
      </c>
      <c r="O111" s="1" t="s">
        <v>25</v>
      </c>
      <c r="P111" s="1" t="s">
        <v>26</v>
      </c>
    </row>
    <row r="112" spans="1:16" ht="14.25" customHeight="1">
      <c r="A112" s="1">
        <v>168571</v>
      </c>
      <c r="B112" s="1" t="s">
        <v>16</v>
      </c>
      <c r="C112" s="1" t="s">
        <v>17</v>
      </c>
      <c r="D112" s="1" t="s">
        <v>18</v>
      </c>
      <c r="E112" s="1" t="s">
        <v>17</v>
      </c>
      <c r="F112" s="1">
        <v>1778</v>
      </c>
      <c r="G112" s="1" t="s">
        <v>19</v>
      </c>
      <c r="H112" s="1" t="s">
        <v>439</v>
      </c>
      <c r="I112" s="1" t="s">
        <v>440</v>
      </c>
      <c r="J112" s="1" t="s">
        <v>345</v>
      </c>
      <c r="K112" s="1" t="s">
        <v>441</v>
      </c>
      <c r="L112" s="1">
        <v>89.9</v>
      </c>
      <c r="M112" s="1" t="s">
        <v>24</v>
      </c>
      <c r="N112" s="3">
        <v>45341.369143518517</v>
      </c>
      <c r="O112" s="1" t="s">
        <v>25</v>
      </c>
      <c r="P112" s="1" t="s">
        <v>26</v>
      </c>
    </row>
    <row r="113" spans="1:16" ht="14.25" customHeight="1">
      <c r="A113" s="1">
        <v>154224</v>
      </c>
      <c r="B113" s="1" t="s">
        <v>31</v>
      </c>
      <c r="C113" s="1" t="s">
        <v>32</v>
      </c>
      <c r="D113" s="1" t="s">
        <v>18</v>
      </c>
      <c r="E113" s="1" t="s">
        <v>17</v>
      </c>
      <c r="F113" s="1">
        <v>2474</v>
      </c>
      <c r="G113" s="1" t="s">
        <v>19</v>
      </c>
      <c r="H113" s="1" t="s">
        <v>442</v>
      </c>
      <c r="I113" s="1" t="s">
        <v>443</v>
      </c>
      <c r="J113" s="1" t="s">
        <v>444</v>
      </c>
      <c r="K113" s="1" t="s">
        <v>445</v>
      </c>
      <c r="L113" s="1">
        <v>89.9</v>
      </c>
      <c r="M113" s="1" t="s">
        <v>24</v>
      </c>
      <c r="N113" s="3">
        <v>45341.369143518517</v>
      </c>
      <c r="O113" s="1" t="s">
        <v>25</v>
      </c>
      <c r="P113" s="1" t="s">
        <v>26</v>
      </c>
    </row>
    <row r="114" spans="1:16" ht="14.25" customHeight="1">
      <c r="A114" s="1">
        <v>171061</v>
      </c>
      <c r="B114" s="1" t="s">
        <v>16</v>
      </c>
      <c r="C114" s="1" t="s">
        <v>17</v>
      </c>
      <c r="D114" s="1" t="s">
        <v>18</v>
      </c>
      <c r="E114" s="1" t="s">
        <v>32</v>
      </c>
      <c r="F114" s="1">
        <v>2032</v>
      </c>
      <c r="G114" s="1" t="s">
        <v>19</v>
      </c>
      <c r="H114" s="1" t="s">
        <v>446</v>
      </c>
      <c r="I114" s="1" t="s">
        <v>447</v>
      </c>
      <c r="J114" s="1" t="s">
        <v>437</v>
      </c>
      <c r="K114" s="1" t="s">
        <v>448</v>
      </c>
      <c r="L114" s="1">
        <v>59.9</v>
      </c>
      <c r="M114" s="1" t="s">
        <v>24</v>
      </c>
      <c r="N114" s="3">
        <v>45341.369143518517</v>
      </c>
      <c r="O114" s="1" t="s">
        <v>25</v>
      </c>
      <c r="P114" s="1" t="s">
        <v>26</v>
      </c>
    </row>
    <row r="115" spans="1:16" ht="14.25" customHeight="1">
      <c r="A115" s="1">
        <v>119049</v>
      </c>
      <c r="B115" s="1" t="s">
        <v>16</v>
      </c>
      <c r="C115" s="1" t="s">
        <v>17</v>
      </c>
      <c r="D115" s="1" t="s">
        <v>18</v>
      </c>
      <c r="E115" s="1" t="s">
        <v>32</v>
      </c>
      <c r="F115" s="1">
        <v>1659</v>
      </c>
      <c r="G115" s="1" t="s">
        <v>19</v>
      </c>
      <c r="H115" s="1" t="s">
        <v>449</v>
      </c>
      <c r="I115" s="1" t="s">
        <v>450</v>
      </c>
      <c r="J115" s="1" t="s">
        <v>451</v>
      </c>
      <c r="K115" s="1" t="s">
        <v>452</v>
      </c>
      <c r="L115" s="1">
        <v>89.9</v>
      </c>
      <c r="M115" s="1" t="s">
        <v>24</v>
      </c>
      <c r="N115" s="3">
        <v>45341.369155092594</v>
      </c>
      <c r="O115" s="1" t="s">
        <v>25</v>
      </c>
      <c r="P115" s="1" t="s">
        <v>26</v>
      </c>
    </row>
    <row r="116" spans="1:16" ht="14.25" customHeight="1">
      <c r="A116" s="1">
        <v>158781</v>
      </c>
      <c r="B116" s="1" t="s">
        <v>31</v>
      </c>
      <c r="C116" s="1" t="s">
        <v>32</v>
      </c>
      <c r="D116" s="1" t="s">
        <v>18</v>
      </c>
      <c r="E116" s="1" t="s">
        <v>32</v>
      </c>
      <c r="F116" s="1">
        <v>2443</v>
      </c>
      <c r="G116" s="1" t="s">
        <v>19</v>
      </c>
      <c r="H116" s="1" t="s">
        <v>453</v>
      </c>
      <c r="I116" s="1" t="s">
        <v>454</v>
      </c>
      <c r="J116" s="1" t="s">
        <v>455</v>
      </c>
      <c r="K116" s="1" t="s">
        <v>456</v>
      </c>
      <c r="L116" s="1">
        <v>69.900000000000006</v>
      </c>
      <c r="M116" s="1" t="s">
        <v>24</v>
      </c>
      <c r="N116" s="3">
        <v>45341.369166666664</v>
      </c>
      <c r="O116" s="1" t="s">
        <v>25</v>
      </c>
      <c r="P116" s="1" t="s">
        <v>26</v>
      </c>
    </row>
    <row r="117" spans="1:16" ht="14.25" customHeight="1">
      <c r="A117" s="1">
        <v>151438</v>
      </c>
      <c r="B117" s="1" t="s">
        <v>16</v>
      </c>
      <c r="C117" s="1" t="s">
        <v>17</v>
      </c>
      <c r="D117" s="1" t="s">
        <v>18</v>
      </c>
      <c r="E117" s="1" t="s">
        <v>32</v>
      </c>
      <c r="F117" s="1">
        <v>1137</v>
      </c>
      <c r="G117" s="1" t="s">
        <v>19</v>
      </c>
      <c r="H117" s="1" t="s">
        <v>457</v>
      </c>
      <c r="I117" s="1" t="s">
        <v>458</v>
      </c>
      <c r="J117" s="1" t="s">
        <v>437</v>
      </c>
      <c r="K117" s="1" t="s">
        <v>459</v>
      </c>
      <c r="L117" s="1">
        <v>69.900000000000006</v>
      </c>
      <c r="M117" s="1" t="s">
        <v>24</v>
      </c>
      <c r="N117" s="3">
        <v>45341.369166666664</v>
      </c>
      <c r="O117" s="1" t="s">
        <v>25</v>
      </c>
      <c r="P117" s="1" t="s">
        <v>26</v>
      </c>
    </row>
    <row r="118" spans="1:16" ht="14.25" customHeight="1">
      <c r="A118" s="1">
        <v>152871</v>
      </c>
      <c r="B118" s="1" t="s">
        <v>31</v>
      </c>
      <c r="C118" s="1" t="s">
        <v>17</v>
      </c>
      <c r="D118" s="1" t="s">
        <v>18</v>
      </c>
      <c r="E118" s="1" t="s">
        <v>32</v>
      </c>
      <c r="F118" s="1">
        <v>1847</v>
      </c>
      <c r="G118" s="1" t="s">
        <v>19</v>
      </c>
      <c r="H118" s="1" t="s">
        <v>460</v>
      </c>
      <c r="I118" s="1" t="s">
        <v>461</v>
      </c>
      <c r="J118" s="1" t="s">
        <v>462</v>
      </c>
      <c r="K118" s="1" t="s">
        <v>463</v>
      </c>
      <c r="L118" s="1">
        <v>69.900000000000006</v>
      </c>
      <c r="M118" s="1" t="s">
        <v>24</v>
      </c>
      <c r="N118" s="3">
        <v>45341.36917824074</v>
      </c>
      <c r="O118" s="1" t="s">
        <v>25</v>
      </c>
      <c r="P118" s="1" t="s">
        <v>26</v>
      </c>
    </row>
    <row r="119" spans="1:16" ht="14.25" customHeight="1">
      <c r="A119" s="1">
        <v>126806</v>
      </c>
      <c r="B119" s="1" t="s">
        <v>31</v>
      </c>
      <c r="C119" s="1" t="s">
        <v>32</v>
      </c>
      <c r="D119" s="1" t="s">
        <v>18</v>
      </c>
      <c r="E119" s="1" t="s">
        <v>32</v>
      </c>
      <c r="F119" s="1">
        <v>2404</v>
      </c>
      <c r="G119" s="1" t="s">
        <v>19</v>
      </c>
      <c r="H119" s="1" t="s">
        <v>464</v>
      </c>
      <c r="I119" s="1" t="s">
        <v>465</v>
      </c>
      <c r="J119" s="1" t="s">
        <v>345</v>
      </c>
      <c r="K119" s="1" t="s">
        <v>466</v>
      </c>
      <c r="L119" s="1">
        <v>109</v>
      </c>
      <c r="M119" s="1" t="s">
        <v>24</v>
      </c>
      <c r="N119" s="3">
        <v>45341.36917824074</v>
      </c>
      <c r="O119" s="1" t="s">
        <v>25</v>
      </c>
      <c r="P119" s="1" t="s">
        <v>26</v>
      </c>
    </row>
    <row r="120" spans="1:16" ht="14.25" customHeight="1">
      <c r="A120" s="1">
        <v>134104</v>
      </c>
      <c r="B120" s="1" t="s">
        <v>31</v>
      </c>
      <c r="C120" s="1" t="s">
        <v>17</v>
      </c>
      <c r="D120" s="1" t="s">
        <v>18</v>
      </c>
      <c r="E120" s="1" t="s">
        <v>32</v>
      </c>
      <c r="F120" s="1">
        <v>1466</v>
      </c>
      <c r="G120" s="1" t="s">
        <v>19</v>
      </c>
      <c r="H120" s="1" t="s">
        <v>467</v>
      </c>
      <c r="I120" s="1" t="s">
        <v>468</v>
      </c>
      <c r="J120" s="1" t="s">
        <v>469</v>
      </c>
      <c r="K120" s="1" t="s">
        <v>470</v>
      </c>
      <c r="L120" s="1">
        <v>59.9</v>
      </c>
      <c r="M120" s="1" t="s">
        <v>24</v>
      </c>
      <c r="N120" s="3">
        <v>45341.369189814817</v>
      </c>
      <c r="O120" s="1" t="s">
        <v>25</v>
      </c>
      <c r="P120" s="1" t="s">
        <v>26</v>
      </c>
    </row>
    <row r="121" spans="1:16" ht="14.25" customHeight="1">
      <c r="A121" s="1">
        <v>120266</v>
      </c>
      <c r="B121" s="1" t="s">
        <v>49</v>
      </c>
      <c r="C121" s="1" t="s">
        <v>17</v>
      </c>
      <c r="D121" s="1" t="s">
        <v>18</v>
      </c>
      <c r="E121" s="1" t="s">
        <v>17</v>
      </c>
      <c r="F121" s="1">
        <v>2328</v>
      </c>
      <c r="G121" s="1" t="s">
        <v>19</v>
      </c>
      <c r="H121" s="1" t="s">
        <v>471</v>
      </c>
      <c r="I121" s="1" t="s">
        <v>472</v>
      </c>
      <c r="J121" s="1" t="s">
        <v>437</v>
      </c>
      <c r="K121" s="1" t="s">
        <v>473</v>
      </c>
      <c r="L121" s="1">
        <v>59.9</v>
      </c>
      <c r="M121" s="1" t="s">
        <v>24</v>
      </c>
      <c r="N121" s="3">
        <v>45341.369189814817</v>
      </c>
      <c r="O121" s="1" t="s">
        <v>25</v>
      </c>
      <c r="P121" s="1" t="s">
        <v>26</v>
      </c>
    </row>
    <row r="122" spans="1:16" ht="14.25" customHeight="1">
      <c r="A122" s="1">
        <v>173550</v>
      </c>
      <c r="B122" s="1" t="s">
        <v>31</v>
      </c>
      <c r="C122" s="1" t="s">
        <v>17</v>
      </c>
      <c r="D122" s="1" t="s">
        <v>18</v>
      </c>
      <c r="E122" s="1" t="s">
        <v>32</v>
      </c>
      <c r="F122" s="1">
        <v>1431</v>
      </c>
      <c r="G122" s="1" t="s">
        <v>19</v>
      </c>
      <c r="H122" s="1" t="s">
        <v>474</v>
      </c>
      <c r="I122" s="1" t="s">
        <v>475</v>
      </c>
      <c r="J122" s="1" t="s">
        <v>345</v>
      </c>
      <c r="K122" s="1" t="s">
        <v>476</v>
      </c>
      <c r="L122" s="1">
        <v>59.9</v>
      </c>
      <c r="M122" s="1" t="s">
        <v>24</v>
      </c>
      <c r="N122" s="3">
        <v>45341.369201388887</v>
      </c>
      <c r="O122" s="1" t="s">
        <v>25</v>
      </c>
      <c r="P122" s="1" t="s">
        <v>26</v>
      </c>
    </row>
    <row r="123" spans="1:16" ht="14.25" customHeight="1">
      <c r="A123" s="1">
        <v>175927</v>
      </c>
      <c r="B123" s="1" t="s">
        <v>31</v>
      </c>
      <c r="C123" s="1" t="s">
        <v>17</v>
      </c>
      <c r="D123" s="1" t="s">
        <v>18</v>
      </c>
      <c r="E123" s="1" t="s">
        <v>32</v>
      </c>
      <c r="F123" s="1">
        <v>1506</v>
      </c>
      <c r="G123" s="1" t="s">
        <v>19</v>
      </c>
      <c r="H123" s="1" t="s">
        <v>477</v>
      </c>
      <c r="I123" s="1" t="s">
        <v>478</v>
      </c>
      <c r="J123" s="1" t="s">
        <v>479</v>
      </c>
      <c r="K123" s="1" t="s">
        <v>480</v>
      </c>
      <c r="L123" s="1">
        <v>109</v>
      </c>
      <c r="M123" s="1" t="s">
        <v>24</v>
      </c>
      <c r="N123" s="3">
        <v>45341.369201388887</v>
      </c>
      <c r="O123" s="1" t="s">
        <v>25</v>
      </c>
      <c r="P123" s="1" t="s">
        <v>26</v>
      </c>
    </row>
    <row r="124" spans="1:16" ht="14.25" customHeight="1">
      <c r="A124" s="1">
        <v>154278</v>
      </c>
      <c r="B124" s="1" t="s">
        <v>31</v>
      </c>
      <c r="C124" s="1" t="s">
        <v>17</v>
      </c>
      <c r="D124" s="1" t="s">
        <v>18</v>
      </c>
      <c r="E124" s="1" t="s">
        <v>32</v>
      </c>
      <c r="F124" s="1">
        <v>2749</v>
      </c>
      <c r="G124" s="1" t="s">
        <v>19</v>
      </c>
      <c r="H124" s="1" t="s">
        <v>481</v>
      </c>
      <c r="I124" s="1" t="s">
        <v>482</v>
      </c>
      <c r="J124" s="1" t="s">
        <v>483</v>
      </c>
      <c r="K124" s="1" t="s">
        <v>484</v>
      </c>
      <c r="L124" s="1">
        <v>89.9</v>
      </c>
      <c r="M124" s="1" t="s">
        <v>24</v>
      </c>
      <c r="N124" s="3">
        <v>45341.369212962964</v>
      </c>
      <c r="O124" s="1" t="s">
        <v>25</v>
      </c>
      <c r="P124" s="1" t="s">
        <v>26</v>
      </c>
    </row>
    <row r="125" spans="1:16" ht="14.25" customHeight="1">
      <c r="A125" s="1">
        <v>183537</v>
      </c>
      <c r="B125" s="1" t="s">
        <v>49</v>
      </c>
      <c r="C125" s="1" t="s">
        <v>32</v>
      </c>
      <c r="D125" s="1" t="s">
        <v>18</v>
      </c>
      <c r="E125" s="1" t="s">
        <v>32</v>
      </c>
      <c r="F125" s="1">
        <v>2434</v>
      </c>
      <c r="G125" s="1" t="s">
        <v>19</v>
      </c>
      <c r="H125" s="1" t="s">
        <v>485</v>
      </c>
      <c r="I125" s="1" t="s">
        <v>486</v>
      </c>
      <c r="J125" s="1" t="s">
        <v>487</v>
      </c>
      <c r="K125" s="1" t="s">
        <v>488</v>
      </c>
      <c r="L125" s="1">
        <v>19.989999999999998</v>
      </c>
      <c r="M125" s="1" t="s">
        <v>24</v>
      </c>
      <c r="N125" s="3">
        <v>45341.369212962964</v>
      </c>
      <c r="O125" s="1" t="s">
        <v>25</v>
      </c>
      <c r="P125" s="1" t="s">
        <v>26</v>
      </c>
    </row>
    <row r="126" spans="1:16" ht="14.25" customHeight="1">
      <c r="A126" s="1">
        <v>150424</v>
      </c>
      <c r="B126" s="1" t="s">
        <v>49</v>
      </c>
      <c r="C126" s="1" t="s">
        <v>17</v>
      </c>
      <c r="D126" s="1" t="s">
        <v>18</v>
      </c>
      <c r="E126" s="1" t="s">
        <v>32</v>
      </c>
      <c r="F126" s="1">
        <v>2067</v>
      </c>
      <c r="G126" s="1" t="s">
        <v>19</v>
      </c>
      <c r="H126" s="1" t="s">
        <v>489</v>
      </c>
      <c r="I126" s="1" t="s">
        <v>490</v>
      </c>
      <c r="J126" s="1" t="s">
        <v>491</v>
      </c>
      <c r="K126" s="1" t="s">
        <v>492</v>
      </c>
      <c r="L126" s="1">
        <v>79.900000000000006</v>
      </c>
      <c r="M126" s="1" t="s">
        <v>24</v>
      </c>
      <c r="N126" s="3">
        <v>45341.36922453704</v>
      </c>
      <c r="O126" s="1" t="s">
        <v>25</v>
      </c>
      <c r="P126" s="1" t="s">
        <v>26</v>
      </c>
    </row>
    <row r="127" spans="1:16" ht="14.25" customHeight="1">
      <c r="A127" s="1">
        <v>183825</v>
      </c>
      <c r="B127" s="1" t="s">
        <v>16</v>
      </c>
      <c r="C127" s="1" t="s">
        <v>32</v>
      </c>
      <c r="D127" s="1" t="s">
        <v>18</v>
      </c>
      <c r="E127" s="1" t="s">
        <v>32</v>
      </c>
      <c r="F127" s="1">
        <v>2989</v>
      </c>
      <c r="G127" s="1" t="s">
        <v>19</v>
      </c>
      <c r="H127" s="1" t="s">
        <v>493</v>
      </c>
      <c r="I127" s="1" t="s">
        <v>494</v>
      </c>
      <c r="J127" s="1" t="s">
        <v>495</v>
      </c>
      <c r="K127" s="1" t="s">
        <v>496</v>
      </c>
      <c r="L127" s="1">
        <v>19.989999999999998</v>
      </c>
      <c r="M127" s="1" t="s">
        <v>24</v>
      </c>
      <c r="N127" s="3">
        <v>45341.36922453704</v>
      </c>
      <c r="O127" s="1" t="s">
        <v>25</v>
      </c>
      <c r="P127" s="1" t="s">
        <v>26</v>
      </c>
    </row>
    <row r="128" spans="1:16" ht="14.25" customHeight="1">
      <c r="A128" s="1">
        <v>144012</v>
      </c>
      <c r="B128" s="1" t="s">
        <v>49</v>
      </c>
      <c r="C128" s="1" t="s">
        <v>32</v>
      </c>
      <c r="D128" s="1" t="s">
        <v>18</v>
      </c>
      <c r="E128" s="1" t="s">
        <v>17</v>
      </c>
      <c r="F128" s="1">
        <v>743</v>
      </c>
      <c r="G128" s="1" t="s">
        <v>19</v>
      </c>
      <c r="H128" s="1" t="s">
        <v>497</v>
      </c>
      <c r="I128" s="1" t="s">
        <v>498</v>
      </c>
      <c r="J128" s="1" t="s">
        <v>499</v>
      </c>
      <c r="K128" s="1" t="s">
        <v>500</v>
      </c>
      <c r="L128" s="1">
        <v>59.9</v>
      </c>
      <c r="M128" s="1" t="s">
        <v>24</v>
      </c>
      <c r="N128" s="3">
        <v>45341.36923611111</v>
      </c>
      <c r="O128" s="1" t="s">
        <v>25</v>
      </c>
      <c r="P128" s="1" t="s">
        <v>26</v>
      </c>
    </row>
    <row r="129" spans="1:16" ht="14.25" customHeight="1">
      <c r="A129" s="1">
        <v>147051</v>
      </c>
      <c r="B129" s="1" t="s">
        <v>49</v>
      </c>
      <c r="C129" s="1" t="s">
        <v>17</v>
      </c>
      <c r="D129" s="1" t="s">
        <v>18</v>
      </c>
      <c r="E129" s="1" t="s">
        <v>17</v>
      </c>
      <c r="F129" s="1">
        <v>2325</v>
      </c>
      <c r="G129" s="1" t="s">
        <v>19</v>
      </c>
      <c r="H129" s="1" t="s">
        <v>501</v>
      </c>
      <c r="I129" s="1" t="s">
        <v>502</v>
      </c>
      <c r="J129" s="1" t="s">
        <v>503</v>
      </c>
      <c r="K129" s="1" t="s">
        <v>504</v>
      </c>
      <c r="L129" s="1">
        <v>109</v>
      </c>
      <c r="M129" s="1" t="s">
        <v>24</v>
      </c>
      <c r="N129" s="3">
        <v>45341.36923611111</v>
      </c>
      <c r="O129" s="1" t="s">
        <v>25</v>
      </c>
      <c r="P129" s="1" t="s">
        <v>26</v>
      </c>
    </row>
    <row r="130" spans="1:16" ht="14.25" customHeight="1">
      <c r="A130" s="1">
        <v>185800</v>
      </c>
      <c r="B130" s="1" t="s">
        <v>31</v>
      </c>
      <c r="C130" s="1" t="s">
        <v>17</v>
      </c>
      <c r="D130" s="1" t="s">
        <v>18</v>
      </c>
      <c r="E130" s="1" t="s">
        <v>32</v>
      </c>
      <c r="F130" s="1">
        <v>1841</v>
      </c>
      <c r="G130" s="1" t="s">
        <v>19</v>
      </c>
      <c r="H130" s="1" t="s">
        <v>505</v>
      </c>
      <c r="I130" s="1" t="s">
        <v>506</v>
      </c>
      <c r="J130" s="1" t="s">
        <v>507</v>
      </c>
      <c r="K130" s="1" t="s">
        <v>508</v>
      </c>
      <c r="L130" s="1">
        <v>109</v>
      </c>
      <c r="M130" s="1" t="s">
        <v>24</v>
      </c>
      <c r="N130" s="3">
        <v>45341.369247685187</v>
      </c>
      <c r="O130" s="1" t="s">
        <v>25</v>
      </c>
      <c r="P130" s="1" t="s">
        <v>26</v>
      </c>
    </row>
    <row r="131" spans="1:16" ht="14.25" customHeight="1">
      <c r="A131" s="1">
        <v>197524</v>
      </c>
      <c r="B131" s="1" t="s">
        <v>16</v>
      </c>
      <c r="C131" s="1" t="s">
        <v>32</v>
      </c>
      <c r="D131" s="1" t="s">
        <v>18</v>
      </c>
      <c r="E131" s="1" t="s">
        <v>32</v>
      </c>
      <c r="F131" s="1">
        <v>2231</v>
      </c>
      <c r="G131" s="1" t="s">
        <v>19</v>
      </c>
      <c r="H131" s="1" t="s">
        <v>509</v>
      </c>
      <c r="I131" s="1" t="s">
        <v>510</v>
      </c>
      <c r="J131" s="1" t="s">
        <v>437</v>
      </c>
      <c r="K131" s="1" t="s">
        <v>511</v>
      </c>
      <c r="L131" s="1">
        <v>49.9</v>
      </c>
      <c r="M131" s="1" t="s">
        <v>24</v>
      </c>
      <c r="N131" s="3">
        <v>45341.369247685187</v>
      </c>
      <c r="O131" s="1" t="s">
        <v>25</v>
      </c>
      <c r="P131" s="1" t="s">
        <v>26</v>
      </c>
    </row>
    <row r="132" spans="1:16" ht="14.25" customHeight="1">
      <c r="A132" s="1">
        <v>148823</v>
      </c>
      <c r="B132" s="1" t="s">
        <v>16</v>
      </c>
      <c r="C132" s="1" t="s">
        <v>17</v>
      </c>
      <c r="D132" s="1" t="s">
        <v>18</v>
      </c>
      <c r="E132" s="1" t="s">
        <v>32</v>
      </c>
      <c r="F132" s="1">
        <v>2211</v>
      </c>
      <c r="G132" s="1" t="s">
        <v>19</v>
      </c>
      <c r="H132" s="1" t="s">
        <v>512</v>
      </c>
      <c r="I132" s="1" t="s">
        <v>513</v>
      </c>
      <c r="J132" s="1" t="s">
        <v>514</v>
      </c>
      <c r="K132" s="1" t="s">
        <v>515</v>
      </c>
      <c r="L132" s="1">
        <v>89.9</v>
      </c>
      <c r="M132" s="1" t="s">
        <v>24</v>
      </c>
      <c r="N132" s="3">
        <v>45341.375324074077</v>
      </c>
      <c r="O132" s="1" t="s">
        <v>516</v>
      </c>
      <c r="P132" s="1" t="s">
        <v>26</v>
      </c>
    </row>
    <row r="133" spans="1:16" ht="14.25" customHeight="1">
      <c r="A133" s="1">
        <v>114550</v>
      </c>
      <c r="B133" s="1" t="s">
        <v>31</v>
      </c>
      <c r="C133" s="1" t="s">
        <v>17</v>
      </c>
      <c r="D133" s="1" t="s">
        <v>18</v>
      </c>
      <c r="E133" s="1" t="s">
        <v>17</v>
      </c>
      <c r="F133" s="1">
        <v>2114</v>
      </c>
      <c r="G133" s="1" t="s">
        <v>19</v>
      </c>
      <c r="H133" s="1" t="s">
        <v>517</v>
      </c>
      <c r="I133" s="1" t="s">
        <v>518</v>
      </c>
      <c r="J133" s="1" t="s">
        <v>519</v>
      </c>
      <c r="K133" s="1" t="s">
        <v>520</v>
      </c>
      <c r="L133" s="1">
        <v>69.900000000000006</v>
      </c>
      <c r="M133" s="1" t="s">
        <v>24</v>
      </c>
      <c r="N133" s="3">
        <v>45341.375335648147</v>
      </c>
      <c r="O133" s="1" t="s">
        <v>516</v>
      </c>
      <c r="P133" s="1" t="s">
        <v>26</v>
      </c>
    </row>
    <row r="134" spans="1:16" ht="14.25" customHeight="1">
      <c r="A134" s="1">
        <v>125398</v>
      </c>
      <c r="B134" s="1" t="s">
        <v>16</v>
      </c>
      <c r="C134" s="1" t="s">
        <v>32</v>
      </c>
      <c r="D134" s="1" t="s">
        <v>18</v>
      </c>
      <c r="E134" s="1" t="s">
        <v>32</v>
      </c>
      <c r="F134" s="1">
        <v>1350</v>
      </c>
      <c r="G134" s="1" t="s">
        <v>19</v>
      </c>
      <c r="H134" s="1" t="s">
        <v>521</v>
      </c>
      <c r="I134" s="1" t="s">
        <v>522</v>
      </c>
      <c r="J134" s="1" t="s">
        <v>523</v>
      </c>
      <c r="K134" s="1" t="s">
        <v>524</v>
      </c>
      <c r="L134" s="1">
        <v>69.900000000000006</v>
      </c>
      <c r="M134" s="1" t="s">
        <v>24</v>
      </c>
      <c r="N134" s="3">
        <v>45341.375347222223</v>
      </c>
      <c r="O134" s="1" t="s">
        <v>516</v>
      </c>
      <c r="P134" s="1" t="s">
        <v>26</v>
      </c>
    </row>
    <row r="135" spans="1:16" ht="14.25" customHeight="1">
      <c r="A135" s="1">
        <v>123985</v>
      </c>
      <c r="B135" s="1" t="s">
        <v>31</v>
      </c>
      <c r="C135" s="1" t="s">
        <v>17</v>
      </c>
      <c r="D135" s="1" t="s">
        <v>18</v>
      </c>
      <c r="E135" s="1" t="s">
        <v>17</v>
      </c>
      <c r="F135" s="1">
        <v>2240</v>
      </c>
      <c r="G135" s="1" t="s">
        <v>19</v>
      </c>
      <c r="H135" s="1" t="s">
        <v>525</v>
      </c>
      <c r="I135" s="1" t="s">
        <v>526</v>
      </c>
      <c r="J135" s="1" t="s">
        <v>527</v>
      </c>
      <c r="K135" s="1" t="s">
        <v>528</v>
      </c>
      <c r="L135" s="1">
        <v>69.900000000000006</v>
      </c>
      <c r="M135" s="1" t="s">
        <v>24</v>
      </c>
      <c r="N135" s="3">
        <v>45341.375358796293</v>
      </c>
      <c r="O135" s="1" t="s">
        <v>516</v>
      </c>
      <c r="P135" s="1" t="s">
        <v>26</v>
      </c>
    </row>
    <row r="136" spans="1:16" ht="14.25" customHeight="1">
      <c r="A136" s="1">
        <v>186638</v>
      </c>
      <c r="B136" s="1" t="s">
        <v>31</v>
      </c>
      <c r="C136" s="1" t="s">
        <v>32</v>
      </c>
      <c r="D136" s="1" t="s">
        <v>18</v>
      </c>
      <c r="E136" s="1" t="s">
        <v>17</v>
      </c>
      <c r="F136" s="1">
        <v>1296</v>
      </c>
      <c r="G136" s="1" t="s">
        <v>19</v>
      </c>
      <c r="H136" s="1" t="s">
        <v>529</v>
      </c>
      <c r="I136" s="1" t="s">
        <v>530</v>
      </c>
      <c r="J136" s="1" t="s">
        <v>531</v>
      </c>
      <c r="K136" s="1" t="s">
        <v>532</v>
      </c>
      <c r="L136" s="1">
        <v>59.9</v>
      </c>
      <c r="M136" s="1" t="s">
        <v>24</v>
      </c>
      <c r="N136" s="3">
        <v>45341.375358796293</v>
      </c>
      <c r="O136" s="1" t="s">
        <v>516</v>
      </c>
      <c r="P136" s="1" t="s">
        <v>26</v>
      </c>
    </row>
    <row r="137" spans="1:16" ht="14.25" customHeight="1">
      <c r="A137" s="1">
        <v>167281</v>
      </c>
      <c r="B137" s="1" t="s">
        <v>31</v>
      </c>
      <c r="C137" s="1" t="s">
        <v>32</v>
      </c>
      <c r="D137" s="1" t="s">
        <v>18</v>
      </c>
      <c r="E137" s="1" t="s">
        <v>32</v>
      </c>
      <c r="F137" s="1">
        <v>892</v>
      </c>
      <c r="G137" s="1" t="s">
        <v>19</v>
      </c>
      <c r="H137" s="1" t="s">
        <v>533</v>
      </c>
      <c r="I137" s="1" t="s">
        <v>534</v>
      </c>
      <c r="J137" s="1" t="s">
        <v>535</v>
      </c>
      <c r="K137" s="1" t="s">
        <v>536</v>
      </c>
      <c r="L137" s="1">
        <v>59.9</v>
      </c>
      <c r="M137" s="1" t="s">
        <v>24</v>
      </c>
      <c r="N137" s="3">
        <v>45341.37537037037</v>
      </c>
      <c r="O137" s="1" t="s">
        <v>516</v>
      </c>
      <c r="P137" s="1" t="s">
        <v>26</v>
      </c>
    </row>
    <row r="138" spans="1:16" ht="14.25" customHeight="1">
      <c r="A138" s="1">
        <v>118578</v>
      </c>
      <c r="B138" s="1" t="s">
        <v>31</v>
      </c>
      <c r="C138" s="1" t="s">
        <v>17</v>
      </c>
      <c r="D138" s="1" t="s">
        <v>18</v>
      </c>
      <c r="E138" s="1" t="s">
        <v>32</v>
      </c>
      <c r="F138" s="1">
        <v>1678</v>
      </c>
      <c r="G138" s="1" t="s">
        <v>19</v>
      </c>
      <c r="H138" s="1" t="s">
        <v>537</v>
      </c>
      <c r="I138" s="1" t="s">
        <v>538</v>
      </c>
      <c r="J138" s="1" t="s">
        <v>539</v>
      </c>
      <c r="K138" s="1" t="s">
        <v>540</v>
      </c>
      <c r="L138" s="1">
        <v>49.9</v>
      </c>
      <c r="M138" s="1" t="s">
        <v>24</v>
      </c>
      <c r="N138" s="3">
        <v>45341.375381944446</v>
      </c>
      <c r="O138" s="1" t="s">
        <v>516</v>
      </c>
      <c r="P138" s="1" t="s">
        <v>26</v>
      </c>
    </row>
    <row r="139" spans="1:16" ht="14.25" customHeight="1">
      <c r="A139" s="1">
        <v>174041</v>
      </c>
      <c r="B139" s="1" t="s">
        <v>31</v>
      </c>
      <c r="C139" s="1" t="s">
        <v>17</v>
      </c>
      <c r="D139" s="1" t="s">
        <v>18</v>
      </c>
      <c r="E139" s="1" t="s">
        <v>17</v>
      </c>
      <c r="F139" s="1">
        <v>2016</v>
      </c>
      <c r="G139" s="1" t="s">
        <v>19</v>
      </c>
      <c r="H139" s="1" t="s">
        <v>541</v>
      </c>
      <c r="I139" s="1" t="s">
        <v>542</v>
      </c>
      <c r="J139" s="1" t="s">
        <v>543</v>
      </c>
      <c r="K139" s="1" t="s">
        <v>544</v>
      </c>
      <c r="L139" s="1">
        <v>49.9</v>
      </c>
      <c r="M139" s="1" t="s">
        <v>24</v>
      </c>
      <c r="N139" s="3">
        <v>45341.375381944446</v>
      </c>
      <c r="O139" s="1" t="s">
        <v>516</v>
      </c>
      <c r="P139" s="1" t="s">
        <v>26</v>
      </c>
    </row>
    <row r="140" spans="1:16" ht="14.25" customHeight="1">
      <c r="A140" s="1">
        <v>127644</v>
      </c>
      <c r="B140" s="1" t="s">
        <v>49</v>
      </c>
      <c r="C140" s="1" t="s">
        <v>17</v>
      </c>
      <c r="D140" s="1" t="s">
        <v>18</v>
      </c>
      <c r="E140" s="1" t="s">
        <v>32</v>
      </c>
      <c r="F140" s="1">
        <v>1498</v>
      </c>
      <c r="G140" s="1" t="s">
        <v>19</v>
      </c>
      <c r="H140" s="1" t="s">
        <v>545</v>
      </c>
      <c r="I140" s="1" t="s">
        <v>546</v>
      </c>
      <c r="J140" s="1" t="s">
        <v>547</v>
      </c>
      <c r="K140" s="1" t="s">
        <v>548</v>
      </c>
      <c r="L140" s="1">
        <v>45.9</v>
      </c>
      <c r="M140" s="1" t="s">
        <v>24</v>
      </c>
      <c r="N140" s="3">
        <v>45341.375393518516</v>
      </c>
      <c r="O140" s="1" t="s">
        <v>516</v>
      </c>
      <c r="P140" s="1" t="s">
        <v>26</v>
      </c>
    </row>
    <row r="141" spans="1:16" ht="14.25" customHeight="1">
      <c r="A141" s="1">
        <v>132007</v>
      </c>
      <c r="B141" s="1" t="s">
        <v>16</v>
      </c>
      <c r="C141" s="1" t="s">
        <v>17</v>
      </c>
      <c r="D141" s="1" t="s">
        <v>18</v>
      </c>
      <c r="E141" s="1" t="s">
        <v>32</v>
      </c>
      <c r="F141" s="1">
        <v>2491</v>
      </c>
      <c r="G141" s="1" t="s">
        <v>19</v>
      </c>
      <c r="H141" s="1" t="s">
        <v>549</v>
      </c>
      <c r="I141" s="1" t="s">
        <v>550</v>
      </c>
      <c r="J141" s="1" t="s">
        <v>551</v>
      </c>
      <c r="K141" s="1" t="s">
        <v>552</v>
      </c>
      <c r="L141" s="1">
        <v>9.99</v>
      </c>
      <c r="M141" s="1" t="s">
        <v>24</v>
      </c>
      <c r="N141" s="3">
        <v>45341.375405092593</v>
      </c>
      <c r="O141" s="1" t="s">
        <v>516</v>
      </c>
      <c r="P141" s="1" t="s">
        <v>26</v>
      </c>
    </row>
    <row r="142" spans="1:16" ht="14.25" customHeight="1">
      <c r="A142" s="1">
        <v>147998</v>
      </c>
      <c r="B142" s="1" t="s">
        <v>16</v>
      </c>
      <c r="C142" s="1" t="s">
        <v>17</v>
      </c>
      <c r="D142" s="1" t="s">
        <v>18</v>
      </c>
      <c r="E142" s="1" t="s">
        <v>17</v>
      </c>
      <c r="F142" s="1">
        <v>2556</v>
      </c>
      <c r="G142" s="1" t="s">
        <v>19</v>
      </c>
      <c r="H142" s="1" t="s">
        <v>553</v>
      </c>
      <c r="I142" s="1" t="s">
        <v>554</v>
      </c>
      <c r="J142" s="1" t="s">
        <v>555</v>
      </c>
      <c r="K142" s="1" t="s">
        <v>556</v>
      </c>
      <c r="L142" s="1">
        <v>9.99</v>
      </c>
      <c r="M142" s="1" t="s">
        <v>24</v>
      </c>
      <c r="N142" s="3">
        <v>45341.375416666669</v>
      </c>
      <c r="O142" s="1" t="s">
        <v>516</v>
      </c>
      <c r="P142" s="1" t="s">
        <v>26</v>
      </c>
    </row>
    <row r="143" spans="1:16" ht="14.25" customHeight="1">
      <c r="A143" s="1">
        <v>176666</v>
      </c>
      <c r="B143" s="1" t="s">
        <v>16</v>
      </c>
      <c r="C143" s="1" t="s">
        <v>32</v>
      </c>
      <c r="D143" s="1" t="s">
        <v>18</v>
      </c>
      <c r="E143" s="1" t="s">
        <v>17</v>
      </c>
      <c r="F143" s="1">
        <v>2852</v>
      </c>
      <c r="G143" s="1" t="s">
        <v>19</v>
      </c>
      <c r="H143" s="1" t="s">
        <v>557</v>
      </c>
      <c r="I143" s="1" t="s">
        <v>558</v>
      </c>
      <c r="J143" s="1" t="s">
        <v>559</v>
      </c>
      <c r="K143" s="1" t="s">
        <v>560</v>
      </c>
      <c r="L143" s="1">
        <v>45.9</v>
      </c>
      <c r="M143" s="1" t="s">
        <v>24</v>
      </c>
      <c r="N143" s="3">
        <v>45341.375428240739</v>
      </c>
      <c r="O143" s="1" t="s">
        <v>516</v>
      </c>
      <c r="P143" s="1" t="s">
        <v>26</v>
      </c>
    </row>
    <row r="144" spans="1:16" ht="14.25" customHeight="1">
      <c r="A144" s="1">
        <v>193686</v>
      </c>
      <c r="B144" s="1" t="s">
        <v>16</v>
      </c>
      <c r="C144" s="1" t="s">
        <v>32</v>
      </c>
      <c r="D144" s="1" t="s">
        <v>18</v>
      </c>
      <c r="E144" s="1" t="s">
        <v>17</v>
      </c>
      <c r="F144" s="1">
        <v>1899</v>
      </c>
      <c r="G144" s="1" t="s">
        <v>19</v>
      </c>
      <c r="H144" s="1" t="s">
        <v>561</v>
      </c>
      <c r="I144" s="1" t="s">
        <v>562</v>
      </c>
      <c r="J144" s="1" t="s">
        <v>563</v>
      </c>
      <c r="K144" s="1" t="s">
        <v>564</v>
      </c>
      <c r="L144" s="1">
        <v>99.9</v>
      </c>
      <c r="M144" s="1" t="s">
        <v>24</v>
      </c>
      <c r="N144" s="3">
        <v>45341.375439814816</v>
      </c>
      <c r="O144" s="1" t="s">
        <v>516</v>
      </c>
      <c r="P144" s="1" t="s">
        <v>26</v>
      </c>
    </row>
    <row r="145" spans="1:16" ht="14.25" customHeight="1">
      <c r="A145" s="1">
        <v>163610</v>
      </c>
      <c r="B145" s="1" t="s">
        <v>49</v>
      </c>
      <c r="C145" s="1" t="s">
        <v>32</v>
      </c>
      <c r="D145" s="1" t="s">
        <v>18</v>
      </c>
      <c r="E145" s="1" t="s">
        <v>17</v>
      </c>
      <c r="F145" s="1">
        <v>2466</v>
      </c>
      <c r="G145" s="1" t="s">
        <v>19</v>
      </c>
      <c r="H145" s="1" t="s">
        <v>565</v>
      </c>
      <c r="I145" s="1" t="s">
        <v>566</v>
      </c>
      <c r="J145" s="1" t="s">
        <v>567</v>
      </c>
      <c r="K145" s="1" t="s">
        <v>568</v>
      </c>
      <c r="L145" s="1">
        <v>89.9</v>
      </c>
      <c r="M145" s="1" t="s">
        <v>24</v>
      </c>
      <c r="N145" s="3">
        <v>45341.375451388885</v>
      </c>
      <c r="O145" s="1" t="s">
        <v>516</v>
      </c>
      <c r="P145" s="1" t="s">
        <v>26</v>
      </c>
    </row>
    <row r="146" spans="1:16" ht="14.25" customHeight="1">
      <c r="A146" s="1">
        <v>170364</v>
      </c>
      <c r="B146" s="1" t="s">
        <v>16</v>
      </c>
      <c r="C146" s="1" t="s">
        <v>17</v>
      </c>
      <c r="D146" s="1" t="s">
        <v>18</v>
      </c>
      <c r="E146" s="1" t="s">
        <v>17</v>
      </c>
      <c r="F146" s="1">
        <v>818</v>
      </c>
      <c r="G146" s="1" t="s">
        <v>19</v>
      </c>
      <c r="H146" s="1" t="s">
        <v>569</v>
      </c>
      <c r="I146" s="1" t="s">
        <v>570</v>
      </c>
      <c r="J146" s="1" t="s">
        <v>571</v>
      </c>
      <c r="K146" s="1" t="s">
        <v>572</v>
      </c>
      <c r="L146" s="1">
        <v>45.9</v>
      </c>
      <c r="M146" s="1" t="s">
        <v>24</v>
      </c>
      <c r="N146" s="3">
        <v>45341.375451388885</v>
      </c>
      <c r="O146" s="1" t="s">
        <v>516</v>
      </c>
      <c r="P146" s="1" t="s">
        <v>26</v>
      </c>
    </row>
    <row r="147" spans="1:16" ht="14.25" customHeight="1">
      <c r="A147" s="1">
        <v>167599</v>
      </c>
      <c r="B147" s="1" t="s">
        <v>16</v>
      </c>
      <c r="C147" s="1" t="s">
        <v>17</v>
      </c>
      <c r="D147" s="1" t="s">
        <v>18</v>
      </c>
      <c r="E147" s="1" t="s">
        <v>17</v>
      </c>
      <c r="F147" s="1">
        <v>1500</v>
      </c>
      <c r="G147" s="1" t="s">
        <v>19</v>
      </c>
      <c r="H147" s="1" t="s">
        <v>573</v>
      </c>
      <c r="I147" s="1" t="s">
        <v>574</v>
      </c>
      <c r="J147" s="1" t="s">
        <v>575</v>
      </c>
      <c r="K147" s="1" t="s">
        <v>576</v>
      </c>
      <c r="L147" s="1">
        <v>59.9</v>
      </c>
      <c r="M147" s="1" t="s">
        <v>24</v>
      </c>
      <c r="N147" s="3">
        <v>45341.375462962962</v>
      </c>
      <c r="O147" s="1" t="s">
        <v>516</v>
      </c>
      <c r="P147" s="1" t="s">
        <v>26</v>
      </c>
    </row>
    <row r="148" spans="1:16" ht="14.25" customHeight="1">
      <c r="A148" s="1">
        <v>166421</v>
      </c>
      <c r="B148" s="1" t="s">
        <v>31</v>
      </c>
      <c r="C148" s="1" t="s">
        <v>32</v>
      </c>
      <c r="D148" s="1" t="s">
        <v>18</v>
      </c>
      <c r="E148" s="1" t="s">
        <v>17</v>
      </c>
      <c r="F148" s="1">
        <v>2878</v>
      </c>
      <c r="G148" s="1" t="s">
        <v>19</v>
      </c>
      <c r="H148" s="1" t="s">
        <v>577</v>
      </c>
      <c r="I148" s="1" t="s">
        <v>578</v>
      </c>
      <c r="J148" s="1" t="s">
        <v>579</v>
      </c>
      <c r="K148" s="1" t="s">
        <v>580</v>
      </c>
      <c r="L148" s="1">
        <v>79.900000000000006</v>
      </c>
      <c r="M148" s="1" t="s">
        <v>24</v>
      </c>
      <c r="N148" s="3">
        <v>45341.375486111108</v>
      </c>
      <c r="O148" s="1" t="s">
        <v>516</v>
      </c>
      <c r="P148" s="1" t="s">
        <v>26</v>
      </c>
    </row>
    <row r="149" spans="1:16" ht="14.25" customHeight="1">
      <c r="A149" s="1">
        <v>129247</v>
      </c>
      <c r="B149" s="1" t="s">
        <v>49</v>
      </c>
      <c r="C149" s="1" t="s">
        <v>32</v>
      </c>
      <c r="D149" s="1" t="s">
        <v>18</v>
      </c>
      <c r="E149" s="1" t="s">
        <v>17</v>
      </c>
      <c r="F149" s="1">
        <v>2386</v>
      </c>
      <c r="G149" s="1" t="s">
        <v>19</v>
      </c>
      <c r="H149" s="1" t="s">
        <v>581</v>
      </c>
      <c r="I149" s="1" t="s">
        <v>582</v>
      </c>
      <c r="J149" s="1" t="s">
        <v>583</v>
      </c>
      <c r="K149" s="1" t="s">
        <v>584</v>
      </c>
      <c r="L149" s="1">
        <v>69.900000000000006</v>
      </c>
      <c r="M149" s="1" t="s">
        <v>24</v>
      </c>
      <c r="N149" s="3">
        <v>45341.375486111108</v>
      </c>
      <c r="O149" s="1" t="s">
        <v>516</v>
      </c>
      <c r="P149" s="1" t="s">
        <v>26</v>
      </c>
    </row>
    <row r="150" spans="1:16" ht="14.25" customHeight="1">
      <c r="A150" s="1">
        <v>127314</v>
      </c>
      <c r="B150" s="1" t="s">
        <v>31</v>
      </c>
      <c r="C150" s="1" t="s">
        <v>32</v>
      </c>
      <c r="D150" s="1" t="s">
        <v>18</v>
      </c>
      <c r="E150" s="1" t="s">
        <v>32</v>
      </c>
      <c r="F150" s="1">
        <v>2076</v>
      </c>
      <c r="G150" s="1" t="s">
        <v>19</v>
      </c>
      <c r="H150" s="1" t="s">
        <v>585</v>
      </c>
      <c r="I150" s="1" t="s">
        <v>586</v>
      </c>
      <c r="J150" s="1" t="s">
        <v>587</v>
      </c>
      <c r="K150" s="1" t="s">
        <v>588</v>
      </c>
      <c r="L150" s="1">
        <v>99.9</v>
      </c>
      <c r="M150" s="1" t="s">
        <v>24</v>
      </c>
      <c r="N150" s="3">
        <v>45341.375497685185</v>
      </c>
      <c r="O150" s="1" t="s">
        <v>516</v>
      </c>
      <c r="P150" s="1" t="s">
        <v>26</v>
      </c>
    </row>
    <row r="151" spans="1:16" ht="14.25" customHeight="1">
      <c r="A151" s="1">
        <v>111979</v>
      </c>
      <c r="B151" s="1" t="s">
        <v>49</v>
      </c>
      <c r="C151" s="1" t="s">
        <v>17</v>
      </c>
      <c r="D151" s="1" t="s">
        <v>18</v>
      </c>
      <c r="E151" s="1" t="s">
        <v>17</v>
      </c>
      <c r="F151" s="1">
        <v>2734</v>
      </c>
      <c r="G151" s="1" t="s">
        <v>19</v>
      </c>
      <c r="H151" s="1" t="s">
        <v>589</v>
      </c>
      <c r="I151" s="1" t="s">
        <v>590</v>
      </c>
      <c r="J151" s="1" t="s">
        <v>591</v>
      </c>
      <c r="K151" s="1" t="s">
        <v>592</v>
      </c>
      <c r="L151" s="1">
        <v>59.9</v>
      </c>
      <c r="M151" s="1" t="s">
        <v>24</v>
      </c>
      <c r="N151" s="3">
        <v>45341.375509259262</v>
      </c>
      <c r="O151" s="1" t="s">
        <v>516</v>
      </c>
      <c r="P151" s="1" t="s">
        <v>26</v>
      </c>
    </row>
    <row r="152" spans="1:16" ht="14.25" customHeight="1">
      <c r="A152" s="1">
        <v>120354</v>
      </c>
      <c r="B152" s="1" t="s">
        <v>16</v>
      </c>
      <c r="C152" s="1" t="s">
        <v>32</v>
      </c>
      <c r="D152" s="1" t="s">
        <v>18</v>
      </c>
      <c r="E152" s="1" t="s">
        <v>17</v>
      </c>
      <c r="F152" s="1">
        <v>2836</v>
      </c>
      <c r="G152" s="1" t="s">
        <v>19</v>
      </c>
      <c r="H152" s="1" t="s">
        <v>593</v>
      </c>
      <c r="I152" s="1" t="s">
        <v>594</v>
      </c>
      <c r="J152" s="1" t="s">
        <v>595</v>
      </c>
      <c r="K152" s="1" t="s">
        <v>596</v>
      </c>
      <c r="L152" s="1">
        <v>59.9</v>
      </c>
      <c r="M152" s="1" t="s">
        <v>24</v>
      </c>
      <c r="N152" s="3">
        <v>45341.375509259262</v>
      </c>
      <c r="O152" s="1" t="s">
        <v>516</v>
      </c>
      <c r="P152" s="1" t="s">
        <v>26</v>
      </c>
    </row>
    <row r="153" spans="1:16" ht="14.25" customHeight="1">
      <c r="A153" s="1">
        <v>144848</v>
      </c>
      <c r="B153" s="1" t="s">
        <v>49</v>
      </c>
      <c r="C153" s="1" t="s">
        <v>17</v>
      </c>
      <c r="D153" s="1" t="s">
        <v>18</v>
      </c>
      <c r="E153" s="1" t="s">
        <v>17</v>
      </c>
      <c r="F153" s="1">
        <v>2193</v>
      </c>
      <c r="G153" s="1" t="s">
        <v>19</v>
      </c>
      <c r="H153" s="1" t="s">
        <v>597</v>
      </c>
      <c r="I153" s="1" t="s">
        <v>598</v>
      </c>
      <c r="J153" s="1" t="s">
        <v>599</v>
      </c>
      <c r="K153" s="1" t="s">
        <v>600</v>
      </c>
      <c r="L153" s="1">
        <v>89.9</v>
      </c>
      <c r="M153" s="1" t="s">
        <v>24</v>
      </c>
      <c r="N153" s="3">
        <v>45341.375532407408</v>
      </c>
      <c r="O153" s="1" t="s">
        <v>516</v>
      </c>
      <c r="P153" s="1" t="s">
        <v>26</v>
      </c>
    </row>
    <row r="154" spans="1:16" ht="14.25" customHeight="1">
      <c r="A154" s="1">
        <v>111957</v>
      </c>
      <c r="B154" s="1" t="s">
        <v>16</v>
      </c>
      <c r="C154" s="1" t="s">
        <v>32</v>
      </c>
      <c r="D154" s="1" t="s">
        <v>18</v>
      </c>
      <c r="E154" s="1" t="s">
        <v>17</v>
      </c>
      <c r="F154" s="1">
        <v>2164</v>
      </c>
      <c r="G154" s="1" t="s">
        <v>19</v>
      </c>
      <c r="H154" s="1" t="s">
        <v>601</v>
      </c>
      <c r="I154" s="1" t="s">
        <v>602</v>
      </c>
      <c r="J154" s="1" t="s">
        <v>603</v>
      </c>
      <c r="K154" s="1" t="s">
        <v>604</v>
      </c>
      <c r="L154" s="1">
        <v>89.9</v>
      </c>
      <c r="M154" s="1" t="s">
        <v>24</v>
      </c>
      <c r="N154" s="3">
        <v>45341.375543981485</v>
      </c>
      <c r="O154" s="1" t="s">
        <v>516</v>
      </c>
      <c r="P154" s="1" t="s">
        <v>26</v>
      </c>
    </row>
    <row r="155" spans="1:16" ht="14.25" customHeight="1">
      <c r="A155" s="1">
        <v>160763</v>
      </c>
      <c r="B155" s="1" t="s">
        <v>49</v>
      </c>
      <c r="C155" s="1" t="s">
        <v>32</v>
      </c>
      <c r="D155" s="1" t="s">
        <v>18</v>
      </c>
      <c r="E155" s="1" t="s">
        <v>32</v>
      </c>
      <c r="F155" s="1">
        <v>991</v>
      </c>
      <c r="G155" s="1" t="s">
        <v>19</v>
      </c>
      <c r="H155" s="1" t="s">
        <v>605</v>
      </c>
      <c r="I155" s="1" t="s">
        <v>606</v>
      </c>
      <c r="J155" s="1" t="s">
        <v>607</v>
      </c>
      <c r="K155" s="1" t="s">
        <v>608</v>
      </c>
      <c r="L155" s="1">
        <v>45.9</v>
      </c>
      <c r="M155" s="1" t="s">
        <v>24</v>
      </c>
      <c r="N155" s="3">
        <v>45341.375543981485</v>
      </c>
      <c r="O155" s="1" t="s">
        <v>516</v>
      </c>
      <c r="P155" s="1" t="s">
        <v>26</v>
      </c>
    </row>
    <row r="156" spans="1:16" ht="14.25" customHeight="1">
      <c r="A156" s="1">
        <v>168270</v>
      </c>
      <c r="B156" s="1" t="s">
        <v>31</v>
      </c>
      <c r="C156" s="1" t="s">
        <v>32</v>
      </c>
      <c r="D156" s="1" t="s">
        <v>18</v>
      </c>
      <c r="E156" s="1" t="s">
        <v>32</v>
      </c>
      <c r="F156" s="1">
        <v>1525</v>
      </c>
      <c r="G156" s="1" t="s">
        <v>19</v>
      </c>
      <c r="H156" s="1" t="s">
        <v>609</v>
      </c>
      <c r="I156" s="1" t="s">
        <v>610</v>
      </c>
      <c r="J156" s="1" t="s">
        <v>543</v>
      </c>
      <c r="K156" s="1" t="s">
        <v>611</v>
      </c>
      <c r="L156" s="1">
        <v>69.900000000000006</v>
      </c>
      <c r="M156" s="1" t="s">
        <v>24</v>
      </c>
      <c r="N156" s="3">
        <v>45341.375555555554</v>
      </c>
      <c r="O156" s="1" t="s">
        <v>516</v>
      </c>
      <c r="P156" s="1" t="s">
        <v>26</v>
      </c>
    </row>
    <row r="157" spans="1:16" ht="14.25" customHeight="1">
      <c r="A157" s="1">
        <v>195082</v>
      </c>
      <c r="B157" s="1" t="s">
        <v>49</v>
      </c>
      <c r="C157" s="1" t="s">
        <v>17</v>
      </c>
      <c r="D157" s="1" t="s">
        <v>18</v>
      </c>
      <c r="E157" s="1" t="s">
        <v>17</v>
      </c>
      <c r="F157" s="1">
        <v>923</v>
      </c>
      <c r="G157" s="1" t="s">
        <v>19</v>
      </c>
      <c r="H157" s="1" t="s">
        <v>612</v>
      </c>
      <c r="I157" s="1" t="s">
        <v>613</v>
      </c>
      <c r="J157" s="1" t="s">
        <v>614</v>
      </c>
      <c r="K157" s="1" t="s">
        <v>615</v>
      </c>
      <c r="L157" s="1">
        <v>69.900000000000006</v>
      </c>
      <c r="M157" s="1" t="s">
        <v>24</v>
      </c>
      <c r="N157" s="3">
        <v>45341.375555555554</v>
      </c>
      <c r="O157" s="1" t="s">
        <v>516</v>
      </c>
      <c r="P157" s="1" t="s">
        <v>26</v>
      </c>
    </row>
    <row r="158" spans="1:16" ht="14.25" customHeight="1">
      <c r="A158" s="1">
        <v>110329</v>
      </c>
      <c r="B158" s="1" t="s">
        <v>49</v>
      </c>
      <c r="C158" s="1" t="s">
        <v>17</v>
      </c>
      <c r="D158" s="1" t="s">
        <v>18</v>
      </c>
      <c r="E158" s="1" t="s">
        <v>32</v>
      </c>
      <c r="F158" s="1">
        <v>2397</v>
      </c>
      <c r="G158" s="1" t="s">
        <v>19</v>
      </c>
      <c r="H158" s="1" t="s">
        <v>616</v>
      </c>
      <c r="I158" s="1" t="s">
        <v>617</v>
      </c>
      <c r="J158" s="1" t="s">
        <v>618</v>
      </c>
      <c r="K158" s="1" t="s">
        <v>619</v>
      </c>
      <c r="L158" s="1">
        <v>69.900000000000006</v>
      </c>
      <c r="M158" s="1" t="s">
        <v>24</v>
      </c>
      <c r="N158" s="3">
        <v>45341.375567129631</v>
      </c>
      <c r="O158" s="1" t="s">
        <v>516</v>
      </c>
      <c r="P158" s="1" t="s">
        <v>26</v>
      </c>
    </row>
    <row r="159" spans="1:16" ht="14.25" customHeight="1">
      <c r="A159" s="1">
        <v>147449</v>
      </c>
      <c r="B159" s="1" t="s">
        <v>31</v>
      </c>
      <c r="C159" s="1" t="s">
        <v>17</v>
      </c>
      <c r="D159" s="1" t="s">
        <v>18</v>
      </c>
      <c r="E159" s="1" t="s">
        <v>17</v>
      </c>
      <c r="F159" s="1">
        <v>1191</v>
      </c>
      <c r="G159" s="1" t="s">
        <v>19</v>
      </c>
      <c r="H159" s="1" t="s">
        <v>620</v>
      </c>
      <c r="I159" s="1" t="s">
        <v>621</v>
      </c>
      <c r="J159" s="1" t="s">
        <v>622</v>
      </c>
      <c r="K159" s="1" t="s">
        <v>623</v>
      </c>
      <c r="L159" s="1">
        <v>69.900000000000006</v>
      </c>
      <c r="M159" s="1" t="s">
        <v>24</v>
      </c>
      <c r="N159" s="3">
        <v>45341.375567129631</v>
      </c>
      <c r="O159" s="1" t="s">
        <v>516</v>
      </c>
      <c r="P159" s="1" t="s">
        <v>26</v>
      </c>
    </row>
    <row r="160" spans="1:16" ht="14.25" customHeight="1">
      <c r="A160" s="1">
        <v>193332</v>
      </c>
      <c r="B160" s="1" t="s">
        <v>16</v>
      </c>
      <c r="C160" s="1" t="s">
        <v>32</v>
      </c>
      <c r="D160" s="1" t="s">
        <v>18</v>
      </c>
      <c r="E160" s="1" t="s">
        <v>17</v>
      </c>
      <c r="F160" s="1">
        <v>1237</v>
      </c>
      <c r="G160" s="1" t="s">
        <v>19</v>
      </c>
      <c r="H160" s="1" t="s">
        <v>624</v>
      </c>
      <c r="I160" s="1" t="s">
        <v>625</v>
      </c>
      <c r="J160" s="1" t="s">
        <v>626</v>
      </c>
      <c r="K160" s="1" t="s">
        <v>627</v>
      </c>
      <c r="L160" s="1">
        <v>49.9</v>
      </c>
      <c r="M160" s="1" t="s">
        <v>24</v>
      </c>
      <c r="N160" s="3">
        <v>45341.375578703701</v>
      </c>
      <c r="O160" s="1" t="s">
        <v>516</v>
      </c>
      <c r="P160" s="1" t="s">
        <v>26</v>
      </c>
    </row>
    <row r="161" spans="1:16" ht="14.25" customHeight="1">
      <c r="A161" s="1">
        <v>146804</v>
      </c>
      <c r="B161" s="1" t="s">
        <v>16</v>
      </c>
      <c r="C161" s="1" t="s">
        <v>32</v>
      </c>
      <c r="D161" s="1" t="s">
        <v>18</v>
      </c>
      <c r="E161" s="1" t="s">
        <v>17</v>
      </c>
      <c r="F161" s="1">
        <v>1504</v>
      </c>
      <c r="G161" s="1" t="s">
        <v>19</v>
      </c>
      <c r="H161" s="1" t="s">
        <v>628</v>
      </c>
      <c r="I161" s="1" t="s">
        <v>629</v>
      </c>
      <c r="J161" s="1" t="s">
        <v>583</v>
      </c>
      <c r="K161" s="1" t="s">
        <v>630</v>
      </c>
      <c r="L161" s="1">
        <v>69.900000000000006</v>
      </c>
      <c r="M161" s="1" t="s">
        <v>24</v>
      </c>
      <c r="N161" s="3">
        <v>45341.375601851854</v>
      </c>
      <c r="O161" s="1" t="s">
        <v>516</v>
      </c>
      <c r="P161" s="1" t="s">
        <v>26</v>
      </c>
    </row>
    <row r="162" spans="1:16" ht="14.25" customHeight="1">
      <c r="A162" s="1">
        <v>188909</v>
      </c>
      <c r="B162" s="1" t="s">
        <v>16</v>
      </c>
      <c r="C162" s="1" t="s">
        <v>32</v>
      </c>
      <c r="D162" s="1" t="s">
        <v>18</v>
      </c>
      <c r="E162" s="1" t="s">
        <v>32</v>
      </c>
      <c r="F162" s="1">
        <v>2863</v>
      </c>
      <c r="G162" s="1" t="s">
        <v>19</v>
      </c>
      <c r="H162" s="1" t="s">
        <v>631</v>
      </c>
      <c r="I162" s="1" t="s">
        <v>632</v>
      </c>
      <c r="J162" s="1" t="s">
        <v>633</v>
      </c>
      <c r="K162" s="1" t="s">
        <v>634</v>
      </c>
      <c r="L162" s="1">
        <v>39.9</v>
      </c>
      <c r="M162" s="1" t="s">
        <v>24</v>
      </c>
      <c r="N162" s="3">
        <v>45341.382314814815</v>
      </c>
      <c r="O162" s="1" t="s">
        <v>635</v>
      </c>
      <c r="P162" s="1" t="s">
        <v>636</v>
      </c>
    </row>
    <row r="163" spans="1:16" ht="14.25" customHeight="1">
      <c r="A163" s="1">
        <v>165910</v>
      </c>
      <c r="B163" s="1" t="s">
        <v>31</v>
      </c>
      <c r="C163" s="1" t="s">
        <v>32</v>
      </c>
      <c r="D163" s="1" t="s">
        <v>18</v>
      </c>
      <c r="E163" s="1" t="s">
        <v>17</v>
      </c>
      <c r="F163" s="1">
        <v>2760</v>
      </c>
      <c r="G163" s="1" t="s">
        <v>19</v>
      </c>
      <c r="H163" s="1" t="s">
        <v>637</v>
      </c>
      <c r="I163" s="1" t="s">
        <v>638</v>
      </c>
      <c r="J163" s="1" t="s">
        <v>639</v>
      </c>
      <c r="K163" s="1" t="s">
        <v>640</v>
      </c>
      <c r="L163" s="1">
        <v>69.900000000000006</v>
      </c>
      <c r="M163" s="1" t="s">
        <v>24</v>
      </c>
      <c r="N163" s="3">
        <v>45341.382326388892</v>
      </c>
      <c r="O163" s="1" t="s">
        <v>635</v>
      </c>
      <c r="P163" s="1" t="s">
        <v>636</v>
      </c>
    </row>
    <row r="164" spans="1:16" ht="14.25" customHeight="1">
      <c r="A164" s="1">
        <v>136738</v>
      </c>
      <c r="B164" s="1" t="s">
        <v>49</v>
      </c>
      <c r="C164" s="1" t="s">
        <v>17</v>
      </c>
      <c r="D164" s="1" t="s">
        <v>18</v>
      </c>
      <c r="E164" s="1" t="s">
        <v>32</v>
      </c>
      <c r="F164" s="1">
        <v>542</v>
      </c>
      <c r="G164" s="1" t="s">
        <v>19</v>
      </c>
      <c r="H164" s="1" t="s">
        <v>641</v>
      </c>
      <c r="I164" s="1" t="s">
        <v>642</v>
      </c>
      <c r="J164" s="1" t="s">
        <v>643</v>
      </c>
      <c r="K164" s="1" t="s">
        <v>644</v>
      </c>
      <c r="L164" s="1">
        <v>7.99</v>
      </c>
      <c r="M164" s="1" t="s">
        <v>24</v>
      </c>
      <c r="N164" s="3">
        <v>45341.382326388892</v>
      </c>
      <c r="O164" s="1" t="s">
        <v>635</v>
      </c>
      <c r="P164" s="1" t="s">
        <v>636</v>
      </c>
    </row>
    <row r="165" spans="1:16" ht="14.25" customHeight="1">
      <c r="A165" s="1">
        <v>144497</v>
      </c>
      <c r="B165" s="1" t="s">
        <v>31</v>
      </c>
      <c r="C165" s="1" t="s">
        <v>32</v>
      </c>
      <c r="D165" s="1" t="s">
        <v>18</v>
      </c>
      <c r="E165" s="1" t="s">
        <v>32</v>
      </c>
      <c r="F165" s="1">
        <v>1105</v>
      </c>
      <c r="G165" s="1" t="s">
        <v>19</v>
      </c>
      <c r="H165" s="1" t="s">
        <v>645</v>
      </c>
      <c r="I165" s="1" t="s">
        <v>646</v>
      </c>
      <c r="J165" s="1" t="s">
        <v>647</v>
      </c>
      <c r="K165" s="1" t="s">
        <v>648</v>
      </c>
      <c r="L165" s="1">
        <v>49.9</v>
      </c>
      <c r="M165" s="1" t="s">
        <v>24</v>
      </c>
      <c r="N165" s="3">
        <v>45341.382337962961</v>
      </c>
      <c r="O165" s="1" t="s">
        <v>635</v>
      </c>
      <c r="P165" s="1" t="s">
        <v>636</v>
      </c>
    </row>
    <row r="166" spans="1:16" ht="14.25" customHeight="1">
      <c r="A166" s="1">
        <v>135036</v>
      </c>
      <c r="B166" s="1" t="s">
        <v>31</v>
      </c>
      <c r="C166" s="1" t="s">
        <v>32</v>
      </c>
      <c r="D166" s="1" t="s">
        <v>18</v>
      </c>
      <c r="E166" s="1" t="s">
        <v>17</v>
      </c>
      <c r="F166" s="1">
        <v>1435</v>
      </c>
      <c r="G166" s="1" t="s">
        <v>19</v>
      </c>
      <c r="H166" s="1" t="s">
        <v>649</v>
      </c>
      <c r="I166" s="1" t="s">
        <v>650</v>
      </c>
      <c r="J166" s="1" t="s">
        <v>651</v>
      </c>
      <c r="K166" s="1" t="s">
        <v>652</v>
      </c>
      <c r="L166" s="1">
        <v>49.9</v>
      </c>
      <c r="M166" s="1" t="s">
        <v>24</v>
      </c>
      <c r="N166" s="3">
        <v>45341.382349537038</v>
      </c>
      <c r="O166" s="1" t="s">
        <v>635</v>
      </c>
      <c r="P166" s="1" t="s">
        <v>636</v>
      </c>
    </row>
    <row r="167" spans="1:16" ht="14.25" customHeight="1">
      <c r="A167" s="1">
        <v>166331</v>
      </c>
      <c r="B167" s="1" t="s">
        <v>16</v>
      </c>
      <c r="C167" s="1" t="s">
        <v>32</v>
      </c>
      <c r="D167" s="1" t="s">
        <v>18</v>
      </c>
      <c r="E167" s="1" t="s">
        <v>32</v>
      </c>
      <c r="F167" s="1">
        <v>2877</v>
      </c>
      <c r="G167" s="1" t="s">
        <v>19</v>
      </c>
      <c r="H167" s="1" t="s">
        <v>653</v>
      </c>
      <c r="I167" s="1" t="s">
        <v>654</v>
      </c>
      <c r="J167" s="1" t="s">
        <v>655</v>
      </c>
      <c r="K167" s="1" t="s">
        <v>656</v>
      </c>
      <c r="L167" s="1">
        <v>59.9</v>
      </c>
      <c r="M167" s="1" t="s">
        <v>24</v>
      </c>
      <c r="N167" s="3">
        <v>45341.382349537038</v>
      </c>
      <c r="O167" s="1" t="s">
        <v>635</v>
      </c>
      <c r="P167" s="1" t="s">
        <v>636</v>
      </c>
    </row>
    <row r="168" spans="1:16" ht="14.25" customHeight="1">
      <c r="A168" s="1">
        <v>139789</v>
      </c>
      <c r="B168" s="1" t="s">
        <v>16</v>
      </c>
      <c r="C168" s="1" t="s">
        <v>17</v>
      </c>
      <c r="D168" s="1" t="s">
        <v>18</v>
      </c>
      <c r="E168" s="1" t="s">
        <v>32</v>
      </c>
      <c r="F168" s="1">
        <v>1094</v>
      </c>
      <c r="G168" s="1" t="s">
        <v>19</v>
      </c>
      <c r="H168" s="1" t="s">
        <v>657</v>
      </c>
      <c r="I168" s="1" t="s">
        <v>658</v>
      </c>
      <c r="J168" s="1" t="s">
        <v>659</v>
      </c>
      <c r="K168" s="1" t="s">
        <v>660</v>
      </c>
      <c r="L168" s="1">
        <v>69.900000000000006</v>
      </c>
      <c r="M168" s="1" t="s">
        <v>24</v>
      </c>
      <c r="N168" s="3">
        <v>45341.382361111115</v>
      </c>
      <c r="O168" s="1" t="s">
        <v>635</v>
      </c>
      <c r="P168" s="1" t="s">
        <v>636</v>
      </c>
    </row>
    <row r="169" spans="1:16" ht="14.25" customHeight="1">
      <c r="A169" s="1">
        <v>118569</v>
      </c>
      <c r="B169" s="1" t="s">
        <v>16</v>
      </c>
      <c r="C169" s="1" t="s">
        <v>17</v>
      </c>
      <c r="D169" s="1" t="s">
        <v>18</v>
      </c>
      <c r="E169" s="1" t="s">
        <v>32</v>
      </c>
      <c r="F169" s="1">
        <v>994</v>
      </c>
      <c r="G169" s="1" t="s">
        <v>19</v>
      </c>
      <c r="H169" s="1" t="s">
        <v>661</v>
      </c>
      <c r="I169" s="1" t="s">
        <v>662</v>
      </c>
      <c r="J169" s="1" t="s">
        <v>663</v>
      </c>
      <c r="K169" s="1" t="s">
        <v>664</v>
      </c>
      <c r="L169" s="1">
        <v>49.9</v>
      </c>
      <c r="M169" s="1" t="s">
        <v>24</v>
      </c>
      <c r="N169" s="3">
        <v>45341.382361111115</v>
      </c>
      <c r="O169" s="1" t="s">
        <v>635</v>
      </c>
      <c r="P169" s="1" t="s">
        <v>636</v>
      </c>
    </row>
    <row r="170" spans="1:16" ht="14.25" customHeight="1">
      <c r="A170" s="1">
        <v>155848</v>
      </c>
      <c r="B170" s="1" t="s">
        <v>31</v>
      </c>
      <c r="C170" s="1" t="s">
        <v>32</v>
      </c>
      <c r="D170" s="1" t="s">
        <v>18</v>
      </c>
      <c r="E170" s="1" t="s">
        <v>17</v>
      </c>
      <c r="F170" s="1">
        <v>1942</v>
      </c>
      <c r="G170" s="1" t="s">
        <v>19</v>
      </c>
      <c r="H170" s="1" t="s">
        <v>665</v>
      </c>
      <c r="I170" s="1" t="s">
        <v>666</v>
      </c>
      <c r="J170" s="1" t="s">
        <v>667</v>
      </c>
      <c r="K170" s="1" t="s">
        <v>668</v>
      </c>
      <c r="L170" s="1">
        <v>49.9</v>
      </c>
      <c r="M170" s="1" t="s">
        <v>24</v>
      </c>
      <c r="N170" s="3">
        <v>45341.382372685184</v>
      </c>
      <c r="O170" s="1" t="s">
        <v>635</v>
      </c>
      <c r="P170" s="1" t="s">
        <v>636</v>
      </c>
    </row>
    <row r="171" spans="1:16" ht="14.25" customHeight="1">
      <c r="A171" s="1">
        <v>152563</v>
      </c>
      <c r="B171" s="1" t="s">
        <v>49</v>
      </c>
      <c r="C171" s="1" t="s">
        <v>17</v>
      </c>
      <c r="D171" s="1" t="s">
        <v>18</v>
      </c>
      <c r="E171" s="1" t="s">
        <v>32</v>
      </c>
      <c r="F171" s="1">
        <v>2572</v>
      </c>
      <c r="G171" s="1" t="s">
        <v>19</v>
      </c>
      <c r="H171" s="1" t="s">
        <v>669</v>
      </c>
      <c r="I171" s="1" t="s">
        <v>670</v>
      </c>
      <c r="J171" s="1" t="s">
        <v>671</v>
      </c>
      <c r="K171" s="1" t="s">
        <v>672</v>
      </c>
      <c r="L171" s="1">
        <v>169</v>
      </c>
      <c r="M171" s="1" t="s">
        <v>24</v>
      </c>
      <c r="N171" s="3">
        <v>45341.382372685184</v>
      </c>
      <c r="O171" s="1" t="s">
        <v>635</v>
      </c>
      <c r="P171" s="1" t="s">
        <v>636</v>
      </c>
    </row>
    <row r="172" spans="1:16" ht="14.25" customHeight="1">
      <c r="A172" s="1">
        <v>115153</v>
      </c>
      <c r="B172" s="1" t="s">
        <v>16</v>
      </c>
      <c r="C172" s="1" t="s">
        <v>17</v>
      </c>
      <c r="D172" s="1" t="s">
        <v>18</v>
      </c>
      <c r="E172" s="1" t="s">
        <v>17</v>
      </c>
      <c r="F172" s="1">
        <v>1736</v>
      </c>
      <c r="G172" s="1" t="s">
        <v>19</v>
      </c>
      <c r="H172" s="1" t="s">
        <v>673</v>
      </c>
      <c r="I172" s="1" t="s">
        <v>674</v>
      </c>
      <c r="J172" s="1" t="s">
        <v>675</v>
      </c>
      <c r="K172" s="1" t="s">
        <v>676</v>
      </c>
      <c r="L172" s="1">
        <v>79.900000000000006</v>
      </c>
      <c r="M172" s="1" t="s">
        <v>24</v>
      </c>
      <c r="N172" s="3">
        <v>45341.382384259261</v>
      </c>
      <c r="O172" s="1" t="s">
        <v>635</v>
      </c>
      <c r="P172" s="1" t="s">
        <v>636</v>
      </c>
    </row>
    <row r="173" spans="1:16" ht="14.25" customHeight="1">
      <c r="A173" s="1">
        <v>125938</v>
      </c>
      <c r="B173" s="1" t="s">
        <v>16</v>
      </c>
      <c r="C173" s="1" t="s">
        <v>32</v>
      </c>
      <c r="D173" s="1" t="s">
        <v>18</v>
      </c>
      <c r="E173" s="1" t="s">
        <v>32</v>
      </c>
      <c r="F173" s="1">
        <v>1204</v>
      </c>
      <c r="G173" s="1" t="s">
        <v>19</v>
      </c>
      <c r="H173" s="1" t="s">
        <v>677</v>
      </c>
      <c r="I173" s="1" t="s">
        <v>678</v>
      </c>
      <c r="J173" s="1" t="s">
        <v>679</v>
      </c>
      <c r="K173" s="1" t="s">
        <v>680</v>
      </c>
      <c r="L173" s="1">
        <v>49.9</v>
      </c>
      <c r="M173" s="1" t="s">
        <v>24</v>
      </c>
      <c r="N173" s="3">
        <v>45341.382395833331</v>
      </c>
      <c r="O173" s="1" t="s">
        <v>635</v>
      </c>
      <c r="P173" s="1" t="s">
        <v>636</v>
      </c>
    </row>
    <row r="174" spans="1:16" ht="14.25" customHeight="1">
      <c r="A174" s="1">
        <v>122809</v>
      </c>
      <c r="B174" s="1" t="s">
        <v>31</v>
      </c>
      <c r="C174" s="1" t="s">
        <v>17</v>
      </c>
      <c r="D174" s="1" t="s">
        <v>18</v>
      </c>
      <c r="E174" s="1" t="s">
        <v>32</v>
      </c>
      <c r="F174" s="1">
        <v>1592</v>
      </c>
      <c r="G174" s="1" t="s">
        <v>19</v>
      </c>
      <c r="H174" s="1" t="s">
        <v>681</v>
      </c>
      <c r="I174" s="1" t="s">
        <v>682</v>
      </c>
      <c r="J174" s="1" t="s">
        <v>683</v>
      </c>
      <c r="K174" s="1" t="s">
        <v>684</v>
      </c>
      <c r="L174" s="1">
        <v>49.9</v>
      </c>
      <c r="M174" s="1" t="s">
        <v>24</v>
      </c>
      <c r="N174" s="3">
        <v>45341.382395833331</v>
      </c>
      <c r="O174" s="1" t="s">
        <v>635</v>
      </c>
      <c r="P174" s="1" t="s">
        <v>636</v>
      </c>
    </row>
    <row r="175" spans="1:16" ht="14.25" customHeight="1">
      <c r="A175" s="1">
        <v>181502</v>
      </c>
      <c r="B175" s="1" t="s">
        <v>49</v>
      </c>
      <c r="C175" s="1" t="s">
        <v>32</v>
      </c>
      <c r="D175" s="1" t="s">
        <v>18</v>
      </c>
      <c r="E175" s="1" t="s">
        <v>17</v>
      </c>
      <c r="F175" s="1">
        <v>2591</v>
      </c>
      <c r="G175" s="1" t="s">
        <v>19</v>
      </c>
      <c r="H175" s="1" t="s">
        <v>685</v>
      </c>
      <c r="I175" s="1" t="s">
        <v>686</v>
      </c>
      <c r="J175" s="1" t="s">
        <v>687</v>
      </c>
      <c r="K175" s="1" t="s">
        <v>688</v>
      </c>
      <c r="L175" s="1">
        <v>39.9</v>
      </c>
      <c r="M175" s="1" t="s">
        <v>24</v>
      </c>
      <c r="N175" s="3">
        <v>45341.382407407407</v>
      </c>
      <c r="O175" s="1" t="s">
        <v>635</v>
      </c>
      <c r="P175" s="1" t="s">
        <v>636</v>
      </c>
    </row>
    <row r="176" spans="1:16" ht="14.25" customHeight="1">
      <c r="A176" s="1">
        <v>182779</v>
      </c>
      <c r="B176" s="1" t="s">
        <v>31</v>
      </c>
      <c r="C176" s="1" t="s">
        <v>32</v>
      </c>
      <c r="D176" s="1" t="s">
        <v>18</v>
      </c>
      <c r="E176" s="1" t="s">
        <v>32</v>
      </c>
      <c r="F176" s="1">
        <v>2097</v>
      </c>
      <c r="G176" s="1" t="s">
        <v>19</v>
      </c>
      <c r="H176" s="1" t="s">
        <v>689</v>
      </c>
      <c r="I176" s="1" t="s">
        <v>690</v>
      </c>
      <c r="J176" s="1" t="s">
        <v>691</v>
      </c>
      <c r="K176" s="1" t="s">
        <v>692</v>
      </c>
      <c r="L176" s="1">
        <v>35.9</v>
      </c>
      <c r="M176" s="1" t="s">
        <v>24</v>
      </c>
      <c r="N176" s="3">
        <v>45341.382418981484</v>
      </c>
      <c r="O176" s="1" t="s">
        <v>635</v>
      </c>
      <c r="P176" s="1" t="s">
        <v>636</v>
      </c>
    </row>
    <row r="177" spans="1:16" ht="14.25" customHeight="1">
      <c r="A177" s="1">
        <v>155674</v>
      </c>
      <c r="B177" s="1" t="s">
        <v>49</v>
      </c>
      <c r="C177" s="1" t="s">
        <v>17</v>
      </c>
      <c r="D177" s="1" t="s">
        <v>18</v>
      </c>
      <c r="E177" s="1" t="s">
        <v>17</v>
      </c>
      <c r="F177" s="1">
        <v>897</v>
      </c>
      <c r="G177" s="1" t="s">
        <v>19</v>
      </c>
      <c r="H177" s="1" t="s">
        <v>693</v>
      </c>
      <c r="I177" s="1" t="s">
        <v>694</v>
      </c>
      <c r="J177" s="1" t="s">
        <v>695</v>
      </c>
      <c r="K177" s="1" t="s">
        <v>696</v>
      </c>
      <c r="L177" s="1">
        <v>49.9</v>
      </c>
      <c r="M177" s="1" t="s">
        <v>24</v>
      </c>
      <c r="N177" s="3">
        <v>45341.382430555554</v>
      </c>
      <c r="O177" s="1" t="s">
        <v>635</v>
      </c>
      <c r="P177" s="1" t="s">
        <v>636</v>
      </c>
    </row>
    <row r="178" spans="1:16" ht="14.25" customHeight="1">
      <c r="A178" s="1">
        <v>182866</v>
      </c>
      <c r="B178" s="1" t="s">
        <v>16</v>
      </c>
      <c r="C178" s="1" t="s">
        <v>17</v>
      </c>
      <c r="D178" s="1" t="s">
        <v>18</v>
      </c>
      <c r="E178" s="1" t="s">
        <v>32</v>
      </c>
      <c r="F178" s="1">
        <v>1552</v>
      </c>
      <c r="G178" s="1" t="s">
        <v>19</v>
      </c>
      <c r="H178" s="1" t="s">
        <v>697</v>
      </c>
      <c r="I178" s="1" t="s">
        <v>698</v>
      </c>
      <c r="J178" s="1" t="s">
        <v>699</v>
      </c>
      <c r="K178" s="1" t="s">
        <v>700</v>
      </c>
      <c r="L178" s="1">
        <v>39.9</v>
      </c>
      <c r="M178" s="1" t="s">
        <v>24</v>
      </c>
      <c r="N178" s="3">
        <v>45341.382430555554</v>
      </c>
      <c r="O178" s="1" t="s">
        <v>635</v>
      </c>
      <c r="P178" s="1" t="s">
        <v>636</v>
      </c>
    </row>
    <row r="179" spans="1:16" ht="14.25" customHeight="1">
      <c r="A179" s="1">
        <v>148230</v>
      </c>
      <c r="B179" s="1" t="s">
        <v>49</v>
      </c>
      <c r="C179" s="1" t="s">
        <v>32</v>
      </c>
      <c r="D179" s="1" t="s">
        <v>18</v>
      </c>
      <c r="E179" s="1" t="s">
        <v>17</v>
      </c>
      <c r="F179" s="1">
        <v>2494</v>
      </c>
      <c r="G179" s="1" t="s">
        <v>19</v>
      </c>
      <c r="H179" s="1" t="s">
        <v>701</v>
      </c>
      <c r="I179" s="1" t="s">
        <v>702</v>
      </c>
      <c r="J179" s="1" t="s">
        <v>703</v>
      </c>
      <c r="K179" s="1" t="s">
        <v>704</v>
      </c>
      <c r="L179" s="1">
        <v>59.9</v>
      </c>
      <c r="M179" s="1" t="s">
        <v>24</v>
      </c>
      <c r="N179" s="3">
        <v>45341.38244212963</v>
      </c>
      <c r="O179" s="1" t="s">
        <v>635</v>
      </c>
      <c r="P179" s="1" t="s">
        <v>636</v>
      </c>
    </row>
    <row r="180" spans="1:16" ht="14.25" customHeight="1">
      <c r="A180" s="1">
        <v>126979</v>
      </c>
      <c r="B180" s="1" t="s">
        <v>49</v>
      </c>
      <c r="C180" s="1" t="s">
        <v>17</v>
      </c>
      <c r="D180" s="1" t="s">
        <v>18</v>
      </c>
      <c r="E180" s="1" t="s">
        <v>17</v>
      </c>
      <c r="F180" s="1">
        <v>2141</v>
      </c>
      <c r="G180" s="1" t="s">
        <v>19</v>
      </c>
      <c r="H180" s="1" t="s">
        <v>705</v>
      </c>
      <c r="I180" s="1" t="s">
        <v>706</v>
      </c>
      <c r="J180" s="1" t="s">
        <v>707</v>
      </c>
      <c r="K180" s="1" t="s">
        <v>708</v>
      </c>
      <c r="L180" s="1">
        <v>49.9</v>
      </c>
      <c r="M180" s="1" t="s">
        <v>24</v>
      </c>
      <c r="N180" s="3">
        <v>45341.38244212963</v>
      </c>
      <c r="O180" s="1" t="s">
        <v>635</v>
      </c>
      <c r="P180" s="1" t="s">
        <v>636</v>
      </c>
    </row>
    <row r="181" spans="1:16" ht="14.25" customHeight="1">
      <c r="A181" s="1">
        <v>135521</v>
      </c>
      <c r="B181" s="1" t="s">
        <v>31</v>
      </c>
      <c r="C181" s="1" t="s">
        <v>17</v>
      </c>
      <c r="D181" s="1" t="s">
        <v>18</v>
      </c>
      <c r="E181" s="1" t="s">
        <v>32</v>
      </c>
      <c r="F181" s="1">
        <v>2835</v>
      </c>
      <c r="G181" s="1" t="s">
        <v>19</v>
      </c>
      <c r="H181" s="1" t="s">
        <v>709</v>
      </c>
      <c r="I181" s="1" t="s">
        <v>710</v>
      </c>
      <c r="J181" s="1" t="s">
        <v>711</v>
      </c>
      <c r="K181" s="1" t="s">
        <v>712</v>
      </c>
      <c r="L181" s="1">
        <v>39.9</v>
      </c>
      <c r="M181" s="1" t="s">
        <v>24</v>
      </c>
      <c r="N181" s="3">
        <v>45341.382453703707</v>
      </c>
      <c r="O181" s="1" t="s">
        <v>635</v>
      </c>
      <c r="P181" s="1" t="s">
        <v>636</v>
      </c>
    </row>
    <row r="182" spans="1:16" ht="14.25" customHeight="1">
      <c r="A182" s="1">
        <v>185809</v>
      </c>
      <c r="B182" s="1" t="s">
        <v>31</v>
      </c>
      <c r="C182" s="1" t="s">
        <v>17</v>
      </c>
      <c r="D182" s="1" t="s">
        <v>18</v>
      </c>
      <c r="E182" s="1" t="s">
        <v>17</v>
      </c>
      <c r="F182" s="1">
        <v>622</v>
      </c>
      <c r="G182" s="1" t="s">
        <v>19</v>
      </c>
      <c r="H182" s="1" t="s">
        <v>713</v>
      </c>
      <c r="I182" s="1" t="s">
        <v>714</v>
      </c>
      <c r="J182" s="1" t="s">
        <v>715</v>
      </c>
      <c r="K182" s="1" t="s">
        <v>716</v>
      </c>
      <c r="L182" s="1">
        <v>49.9</v>
      </c>
      <c r="M182" s="1" t="s">
        <v>24</v>
      </c>
      <c r="N182" s="3">
        <v>45341.382453703707</v>
      </c>
      <c r="O182" s="1" t="s">
        <v>635</v>
      </c>
      <c r="P182" s="1" t="s">
        <v>636</v>
      </c>
    </row>
    <row r="183" spans="1:16" ht="14.25" customHeight="1">
      <c r="A183" s="1">
        <v>171520</v>
      </c>
      <c r="B183" s="1" t="s">
        <v>31</v>
      </c>
      <c r="C183" s="1" t="s">
        <v>32</v>
      </c>
      <c r="D183" s="1" t="s">
        <v>18</v>
      </c>
      <c r="E183" s="1" t="s">
        <v>32</v>
      </c>
      <c r="F183" s="1">
        <v>2901</v>
      </c>
      <c r="G183" s="1" t="s">
        <v>19</v>
      </c>
      <c r="H183" s="1" t="s">
        <v>717</v>
      </c>
      <c r="I183" s="1" t="s">
        <v>718</v>
      </c>
      <c r="J183" s="1" t="s">
        <v>719</v>
      </c>
      <c r="K183" s="1" t="s">
        <v>720</v>
      </c>
      <c r="L183" s="1">
        <v>47.9</v>
      </c>
      <c r="M183" s="1" t="s">
        <v>24</v>
      </c>
      <c r="N183" s="3">
        <v>45341.382465277777</v>
      </c>
      <c r="O183" s="1" t="s">
        <v>635</v>
      </c>
      <c r="P183" s="1" t="s">
        <v>636</v>
      </c>
    </row>
    <row r="184" spans="1:16" ht="14.25" customHeight="1">
      <c r="A184" s="1">
        <v>122926</v>
      </c>
      <c r="B184" s="1" t="s">
        <v>31</v>
      </c>
      <c r="C184" s="1" t="s">
        <v>17</v>
      </c>
      <c r="D184" s="1" t="s">
        <v>18</v>
      </c>
      <c r="E184" s="1" t="s">
        <v>17</v>
      </c>
      <c r="F184" s="1">
        <v>867</v>
      </c>
      <c r="G184" s="1" t="s">
        <v>19</v>
      </c>
      <c r="H184" s="1" t="s">
        <v>721</v>
      </c>
      <c r="I184" s="1" t="s">
        <v>722</v>
      </c>
      <c r="J184" s="1" t="s">
        <v>723</v>
      </c>
      <c r="K184" s="1" t="s">
        <v>724</v>
      </c>
      <c r="L184" s="1">
        <v>45.9</v>
      </c>
      <c r="M184" s="1" t="s">
        <v>24</v>
      </c>
      <c r="N184" s="3">
        <v>45341.382476851853</v>
      </c>
      <c r="O184" s="1" t="s">
        <v>635</v>
      </c>
      <c r="P184" s="1" t="s">
        <v>636</v>
      </c>
    </row>
    <row r="185" spans="1:16" ht="14.25" customHeight="1">
      <c r="A185" s="1">
        <v>150953</v>
      </c>
      <c r="B185" s="1" t="s">
        <v>49</v>
      </c>
      <c r="C185" s="1" t="s">
        <v>32</v>
      </c>
      <c r="D185" s="1" t="s">
        <v>18</v>
      </c>
      <c r="E185" s="1" t="s">
        <v>32</v>
      </c>
      <c r="F185" s="1">
        <v>2434</v>
      </c>
      <c r="G185" s="1" t="s">
        <v>19</v>
      </c>
      <c r="H185" s="1" t="s">
        <v>725</v>
      </c>
      <c r="I185" s="1" t="s">
        <v>726</v>
      </c>
      <c r="J185" s="1" t="s">
        <v>727</v>
      </c>
      <c r="K185" s="1" t="s">
        <v>728</v>
      </c>
      <c r="L185" s="1">
        <v>35.9</v>
      </c>
      <c r="M185" s="1" t="s">
        <v>24</v>
      </c>
      <c r="N185" s="3">
        <v>45341.382476851853</v>
      </c>
      <c r="O185" s="1" t="s">
        <v>635</v>
      </c>
      <c r="P185" s="1" t="s">
        <v>636</v>
      </c>
    </row>
    <row r="186" spans="1:16" ht="14.25" customHeight="1">
      <c r="A186" s="1">
        <v>115873</v>
      </c>
      <c r="B186" s="1" t="s">
        <v>31</v>
      </c>
      <c r="C186" s="1" t="s">
        <v>32</v>
      </c>
      <c r="D186" s="1" t="s">
        <v>18</v>
      </c>
      <c r="E186" s="1" t="s">
        <v>32</v>
      </c>
      <c r="F186" s="1">
        <v>2606</v>
      </c>
      <c r="G186" s="1" t="s">
        <v>19</v>
      </c>
      <c r="H186" s="1" t="s">
        <v>729</v>
      </c>
      <c r="I186" s="1" t="s">
        <v>730</v>
      </c>
      <c r="J186" s="1" t="s">
        <v>731</v>
      </c>
      <c r="K186" s="1" t="s">
        <v>732</v>
      </c>
      <c r="L186" s="1">
        <v>59.9</v>
      </c>
      <c r="M186" s="1" t="s">
        <v>24</v>
      </c>
      <c r="N186" s="3">
        <v>45341.382488425923</v>
      </c>
      <c r="O186" s="1" t="s">
        <v>635</v>
      </c>
      <c r="P186" s="1" t="s">
        <v>636</v>
      </c>
    </row>
    <row r="187" spans="1:16" ht="14.25" customHeight="1">
      <c r="A187" s="1">
        <v>115581</v>
      </c>
      <c r="B187" s="1" t="s">
        <v>16</v>
      </c>
      <c r="C187" s="1" t="s">
        <v>17</v>
      </c>
      <c r="D187" s="1" t="s">
        <v>18</v>
      </c>
      <c r="E187" s="1" t="s">
        <v>32</v>
      </c>
      <c r="F187" s="1">
        <v>2728</v>
      </c>
      <c r="G187" s="1" t="s">
        <v>19</v>
      </c>
      <c r="H187" s="1" t="s">
        <v>733</v>
      </c>
      <c r="I187" s="1" t="s">
        <v>734</v>
      </c>
      <c r="J187" s="1" t="s">
        <v>735</v>
      </c>
      <c r="K187" s="1" t="s">
        <v>736</v>
      </c>
      <c r="L187" s="1">
        <v>47.9</v>
      </c>
      <c r="M187" s="1" t="s">
        <v>24</v>
      </c>
      <c r="N187" s="3">
        <v>45341.382488425923</v>
      </c>
      <c r="O187" s="1" t="s">
        <v>635</v>
      </c>
      <c r="P187" s="1" t="s">
        <v>636</v>
      </c>
    </row>
    <row r="188" spans="1:16" ht="14.25" customHeight="1">
      <c r="A188" s="1">
        <v>183634</v>
      </c>
      <c r="B188" s="1" t="s">
        <v>49</v>
      </c>
      <c r="C188" s="1" t="s">
        <v>32</v>
      </c>
      <c r="D188" s="1" t="s">
        <v>18</v>
      </c>
      <c r="E188" s="1" t="s">
        <v>32</v>
      </c>
      <c r="F188" s="1">
        <v>2778</v>
      </c>
      <c r="G188" s="1" t="s">
        <v>19</v>
      </c>
      <c r="H188" s="1" t="s">
        <v>737</v>
      </c>
      <c r="I188" s="1" t="s">
        <v>738</v>
      </c>
      <c r="J188" s="1" t="s">
        <v>739</v>
      </c>
      <c r="K188" s="1" t="s">
        <v>740</v>
      </c>
      <c r="L188" s="1">
        <v>27.9</v>
      </c>
      <c r="M188" s="1" t="s">
        <v>24</v>
      </c>
      <c r="N188" s="3">
        <v>45341.3825</v>
      </c>
      <c r="O188" s="1" t="s">
        <v>635</v>
      </c>
      <c r="P188" s="1" t="s">
        <v>636</v>
      </c>
    </row>
    <row r="189" spans="1:16" ht="14.25" customHeight="1">
      <c r="A189" s="1">
        <v>122484</v>
      </c>
      <c r="B189" s="1" t="s">
        <v>16</v>
      </c>
      <c r="C189" s="1" t="s">
        <v>32</v>
      </c>
      <c r="D189" s="1" t="s">
        <v>18</v>
      </c>
      <c r="E189" s="1" t="s">
        <v>32</v>
      </c>
      <c r="F189" s="1">
        <v>558</v>
      </c>
      <c r="G189" s="1" t="s">
        <v>19</v>
      </c>
      <c r="H189" s="1" t="s">
        <v>741</v>
      </c>
      <c r="I189" s="1" t="s">
        <v>742</v>
      </c>
      <c r="J189" s="1" t="s">
        <v>743</v>
      </c>
      <c r="K189" s="1" t="s">
        <v>744</v>
      </c>
      <c r="L189" s="1">
        <v>47.9</v>
      </c>
      <c r="M189" s="1" t="s">
        <v>24</v>
      </c>
      <c r="N189" s="3">
        <v>45341.382511574076</v>
      </c>
      <c r="O189" s="1" t="s">
        <v>635</v>
      </c>
      <c r="P189" s="1" t="s">
        <v>636</v>
      </c>
    </row>
    <row r="190" spans="1:16" ht="14.25" customHeight="1">
      <c r="A190" s="1">
        <v>183574</v>
      </c>
      <c r="B190" s="1" t="s">
        <v>16</v>
      </c>
      <c r="C190" s="1" t="s">
        <v>32</v>
      </c>
      <c r="D190" s="1" t="s">
        <v>18</v>
      </c>
      <c r="E190" s="1" t="s">
        <v>32</v>
      </c>
      <c r="F190" s="1">
        <v>1752</v>
      </c>
      <c r="G190" s="1" t="s">
        <v>19</v>
      </c>
      <c r="H190" s="1" t="s">
        <v>745</v>
      </c>
      <c r="I190" s="1" t="s">
        <v>746</v>
      </c>
      <c r="J190" s="1" t="s">
        <v>747</v>
      </c>
      <c r="K190" s="1" t="s">
        <v>748</v>
      </c>
      <c r="L190" s="1">
        <v>47.9</v>
      </c>
      <c r="M190" s="1" t="s">
        <v>24</v>
      </c>
      <c r="N190" s="3">
        <v>45341.382511574076</v>
      </c>
      <c r="O190" s="1" t="s">
        <v>635</v>
      </c>
      <c r="P190" s="1" t="s">
        <v>636</v>
      </c>
    </row>
    <row r="191" spans="1:16" ht="14.25" customHeight="1">
      <c r="A191" s="1">
        <v>185307</v>
      </c>
      <c r="B191" s="1" t="s">
        <v>49</v>
      </c>
      <c r="C191" s="1" t="s">
        <v>17</v>
      </c>
      <c r="D191" s="1" t="s">
        <v>18</v>
      </c>
      <c r="E191" s="1" t="s">
        <v>32</v>
      </c>
      <c r="F191" s="1">
        <v>2743</v>
      </c>
      <c r="G191" s="1" t="s">
        <v>19</v>
      </c>
      <c r="H191" s="1" t="s">
        <v>749</v>
      </c>
      <c r="I191" s="1" t="s">
        <v>750</v>
      </c>
      <c r="J191" s="1" t="s">
        <v>751</v>
      </c>
      <c r="K191" s="1" t="s">
        <v>752</v>
      </c>
      <c r="L191" s="1">
        <v>7.99</v>
      </c>
      <c r="M191" s="1" t="s">
        <v>24</v>
      </c>
      <c r="N191" s="3">
        <v>45341.382523148146</v>
      </c>
      <c r="O191" s="1" t="s">
        <v>635</v>
      </c>
      <c r="P191" s="1" t="s">
        <v>636</v>
      </c>
    </row>
    <row r="192" spans="1:16" ht="14.25" customHeight="1">
      <c r="A192" s="1">
        <v>118719</v>
      </c>
      <c r="B192" s="1" t="s">
        <v>31</v>
      </c>
      <c r="C192" s="1" t="s">
        <v>17</v>
      </c>
      <c r="D192" s="1" t="s">
        <v>18</v>
      </c>
      <c r="E192" s="1" t="s">
        <v>32</v>
      </c>
      <c r="F192" s="1">
        <v>1669</v>
      </c>
      <c r="G192" s="1" t="s">
        <v>19</v>
      </c>
      <c r="H192" s="1" t="s">
        <v>753</v>
      </c>
      <c r="I192" s="1" t="s">
        <v>754</v>
      </c>
      <c r="J192" s="1" t="s">
        <v>755</v>
      </c>
      <c r="K192" s="1" t="s">
        <v>756</v>
      </c>
      <c r="L192" s="1">
        <v>45.9</v>
      </c>
      <c r="M192" s="1" t="s">
        <v>24</v>
      </c>
      <c r="N192" s="3">
        <v>45341.382534722223</v>
      </c>
      <c r="O192" s="1" t="s">
        <v>635</v>
      </c>
      <c r="P192" s="1" t="s">
        <v>636</v>
      </c>
    </row>
    <row r="193" spans="1:16" ht="14.25" customHeight="1">
      <c r="A193" s="1">
        <v>134788</v>
      </c>
      <c r="B193" s="1" t="s">
        <v>49</v>
      </c>
      <c r="C193" s="1" t="s">
        <v>17</v>
      </c>
      <c r="D193" s="1" t="s">
        <v>18</v>
      </c>
      <c r="E193" s="1" t="s">
        <v>17</v>
      </c>
      <c r="F193" s="1">
        <v>2179</v>
      </c>
      <c r="G193" s="1" t="s">
        <v>19</v>
      </c>
      <c r="H193" s="1" t="s">
        <v>757</v>
      </c>
      <c r="I193" s="1" t="s">
        <v>758</v>
      </c>
      <c r="J193" s="1" t="s">
        <v>759</v>
      </c>
      <c r="K193" s="1" t="s">
        <v>760</v>
      </c>
      <c r="L193" s="1">
        <v>45.9</v>
      </c>
      <c r="M193" s="1" t="s">
        <v>24</v>
      </c>
      <c r="N193" s="3">
        <v>45341.382534722223</v>
      </c>
      <c r="O193" s="1" t="s">
        <v>635</v>
      </c>
      <c r="P193" s="1" t="s">
        <v>636</v>
      </c>
    </row>
    <row r="194" spans="1:16" ht="14.25" customHeight="1">
      <c r="A194" s="1">
        <v>140142</v>
      </c>
      <c r="B194" s="1" t="s">
        <v>49</v>
      </c>
      <c r="C194" s="1" t="s">
        <v>32</v>
      </c>
      <c r="D194" s="1" t="s">
        <v>18</v>
      </c>
      <c r="E194" s="1" t="s">
        <v>17</v>
      </c>
      <c r="F194" s="1">
        <v>606</v>
      </c>
      <c r="G194" s="1" t="s">
        <v>19</v>
      </c>
      <c r="H194" s="1" t="s">
        <v>761</v>
      </c>
      <c r="I194" s="1" t="s">
        <v>762</v>
      </c>
      <c r="J194" s="1" t="s">
        <v>763</v>
      </c>
      <c r="K194" s="1" t="s">
        <v>764</v>
      </c>
      <c r="L194" s="1">
        <v>49.9</v>
      </c>
      <c r="M194" s="1" t="s">
        <v>24</v>
      </c>
      <c r="N194" s="3">
        <v>45341.3825462963</v>
      </c>
      <c r="O194" s="1" t="s">
        <v>635</v>
      </c>
      <c r="P194" s="1" t="s">
        <v>636</v>
      </c>
    </row>
    <row r="195" spans="1:16" ht="14.25" customHeight="1">
      <c r="A195" s="1">
        <v>153997</v>
      </c>
      <c r="B195" s="1" t="s">
        <v>31</v>
      </c>
      <c r="C195" s="1" t="s">
        <v>17</v>
      </c>
      <c r="D195" s="1" t="s">
        <v>18</v>
      </c>
      <c r="E195" s="1" t="s">
        <v>32</v>
      </c>
      <c r="F195" s="1">
        <v>1608</v>
      </c>
      <c r="G195" s="1" t="s">
        <v>19</v>
      </c>
      <c r="H195" s="1" t="s">
        <v>765</v>
      </c>
      <c r="I195" s="1" t="s">
        <v>766</v>
      </c>
      <c r="J195" s="1" t="s">
        <v>767</v>
      </c>
      <c r="K195" s="1" t="s">
        <v>768</v>
      </c>
      <c r="L195" s="1">
        <v>45.9</v>
      </c>
      <c r="M195" s="1" t="s">
        <v>24</v>
      </c>
      <c r="N195" s="3">
        <v>45341.3825462963</v>
      </c>
      <c r="O195" s="1" t="s">
        <v>635</v>
      </c>
      <c r="P195" s="1" t="s">
        <v>636</v>
      </c>
    </row>
    <row r="196" spans="1:16" ht="14.25" customHeight="1">
      <c r="A196" s="1">
        <v>123230</v>
      </c>
      <c r="B196" s="1" t="s">
        <v>16</v>
      </c>
      <c r="C196" s="1" t="s">
        <v>17</v>
      </c>
      <c r="D196" s="1" t="s">
        <v>18</v>
      </c>
      <c r="E196" s="1" t="s">
        <v>32</v>
      </c>
      <c r="F196" s="1">
        <v>880</v>
      </c>
      <c r="G196" s="1" t="s">
        <v>19</v>
      </c>
      <c r="H196" s="1" t="s">
        <v>769</v>
      </c>
      <c r="I196" s="1" t="s">
        <v>770</v>
      </c>
      <c r="J196" s="1" t="s">
        <v>771</v>
      </c>
      <c r="K196" s="1" t="s">
        <v>772</v>
      </c>
      <c r="L196" s="1">
        <v>69.900000000000006</v>
      </c>
      <c r="M196" s="1" t="s">
        <v>24</v>
      </c>
      <c r="N196" s="3">
        <v>45341.369085648148</v>
      </c>
      <c r="O196" s="1" t="s">
        <v>25</v>
      </c>
      <c r="P196" s="1" t="s">
        <v>26</v>
      </c>
    </row>
    <row r="197" spans="1:16" ht="14.25" customHeight="1">
      <c r="A197" s="1">
        <v>154676</v>
      </c>
      <c r="B197" s="1" t="s">
        <v>16</v>
      </c>
      <c r="C197" s="1" t="s">
        <v>17</v>
      </c>
      <c r="D197" s="1" t="s">
        <v>18</v>
      </c>
      <c r="E197" s="1" t="s">
        <v>17</v>
      </c>
      <c r="F197" s="1">
        <v>943</v>
      </c>
      <c r="G197" s="1" t="s">
        <v>19</v>
      </c>
      <c r="H197" s="1" t="s">
        <v>773</v>
      </c>
      <c r="I197" s="1" t="s">
        <v>774</v>
      </c>
      <c r="J197" s="1" t="s">
        <v>775</v>
      </c>
      <c r="K197" s="1" t="s">
        <v>776</v>
      </c>
      <c r="L197" s="1">
        <v>69.900000000000006</v>
      </c>
      <c r="M197" s="1" t="s">
        <v>24</v>
      </c>
      <c r="N197" s="3">
        <v>45341.369085648148</v>
      </c>
      <c r="O197" s="1" t="s">
        <v>25</v>
      </c>
      <c r="P197" s="1" t="s">
        <v>26</v>
      </c>
    </row>
    <row r="198" spans="1:16" ht="14.25" customHeight="1">
      <c r="A198" s="1">
        <v>152985</v>
      </c>
      <c r="B198" s="1" t="s">
        <v>16</v>
      </c>
      <c r="C198" s="1" t="s">
        <v>32</v>
      </c>
      <c r="D198" s="1" t="s">
        <v>18</v>
      </c>
      <c r="E198" s="1" t="s">
        <v>32</v>
      </c>
      <c r="F198" s="1">
        <v>1049</v>
      </c>
      <c r="G198" s="1" t="s">
        <v>19</v>
      </c>
      <c r="H198" s="1" t="s">
        <v>777</v>
      </c>
      <c r="I198" s="1" t="s">
        <v>778</v>
      </c>
      <c r="J198" s="1" t="s">
        <v>437</v>
      </c>
      <c r="K198" s="1" t="s">
        <v>779</v>
      </c>
      <c r="L198" s="1">
        <v>89.9</v>
      </c>
      <c r="M198" s="1" t="s">
        <v>24</v>
      </c>
      <c r="N198" s="3">
        <v>45341.369097222225</v>
      </c>
      <c r="O198" s="1" t="s">
        <v>25</v>
      </c>
      <c r="P198" s="1" t="s">
        <v>26</v>
      </c>
    </row>
    <row r="199" spans="1:16" ht="14.25" customHeight="1">
      <c r="A199" s="1">
        <v>175584</v>
      </c>
      <c r="B199" s="1" t="s">
        <v>49</v>
      </c>
      <c r="C199" s="1" t="s">
        <v>17</v>
      </c>
      <c r="D199" s="1" t="s">
        <v>18</v>
      </c>
      <c r="E199" s="1" t="s">
        <v>17</v>
      </c>
      <c r="F199" s="1">
        <v>2084</v>
      </c>
      <c r="G199" s="1" t="s">
        <v>19</v>
      </c>
      <c r="H199" s="1" t="s">
        <v>780</v>
      </c>
      <c r="I199" s="1" t="s">
        <v>781</v>
      </c>
      <c r="J199" s="1" t="s">
        <v>782</v>
      </c>
      <c r="K199" s="1" t="s">
        <v>783</v>
      </c>
      <c r="L199" s="1">
        <v>69.900000000000006</v>
      </c>
      <c r="M199" s="1" t="s">
        <v>24</v>
      </c>
      <c r="N199" s="3">
        <v>45341.37127314815</v>
      </c>
      <c r="O199" s="1" t="s">
        <v>784</v>
      </c>
      <c r="P199" s="1" t="s">
        <v>26</v>
      </c>
    </row>
    <row r="200" spans="1:16" ht="14.25" customHeight="1">
      <c r="A200" s="1">
        <v>147491</v>
      </c>
      <c r="B200" s="1" t="s">
        <v>31</v>
      </c>
      <c r="C200" s="1" t="s">
        <v>17</v>
      </c>
      <c r="D200" s="1" t="s">
        <v>18</v>
      </c>
      <c r="E200" s="1" t="s">
        <v>17</v>
      </c>
      <c r="F200" s="1">
        <v>1563</v>
      </c>
      <c r="G200" s="1" t="s">
        <v>19</v>
      </c>
      <c r="H200" s="1" t="s">
        <v>785</v>
      </c>
      <c r="I200" s="1" t="s">
        <v>786</v>
      </c>
      <c r="J200" s="1" t="s">
        <v>787</v>
      </c>
      <c r="K200" s="1" t="s">
        <v>788</v>
      </c>
      <c r="L200" s="1">
        <v>59.9</v>
      </c>
      <c r="M200" s="1" t="s">
        <v>24</v>
      </c>
      <c r="N200" s="3">
        <v>45341.37127314815</v>
      </c>
      <c r="O200" s="1" t="s">
        <v>784</v>
      </c>
      <c r="P200" s="1" t="s">
        <v>26</v>
      </c>
    </row>
    <row r="201" spans="1:16" ht="14.25" customHeight="1">
      <c r="A201" s="1">
        <v>198283</v>
      </c>
      <c r="B201" s="1" t="s">
        <v>31</v>
      </c>
      <c r="C201" s="1" t="s">
        <v>32</v>
      </c>
      <c r="D201" s="1" t="s">
        <v>18</v>
      </c>
      <c r="E201" s="1" t="s">
        <v>32</v>
      </c>
      <c r="F201" s="1">
        <v>1558</v>
      </c>
      <c r="G201" s="1" t="s">
        <v>19</v>
      </c>
      <c r="H201" s="1" t="s">
        <v>789</v>
      </c>
      <c r="I201" s="1" t="s">
        <v>790</v>
      </c>
      <c r="J201" s="1" t="s">
        <v>791</v>
      </c>
      <c r="K201" s="1" t="s">
        <v>792</v>
      </c>
      <c r="L201" s="1">
        <v>69.900000000000006</v>
      </c>
      <c r="M201" s="1" t="s">
        <v>24</v>
      </c>
      <c r="N201" s="3">
        <v>45341.37128472222</v>
      </c>
      <c r="O201" s="1" t="s">
        <v>784</v>
      </c>
      <c r="P201" s="1" t="s">
        <v>26</v>
      </c>
    </row>
    <row r="202" spans="1:16" ht="14.25" customHeight="1">
      <c r="A202" s="1">
        <v>141547</v>
      </c>
      <c r="B202" s="1" t="s">
        <v>31</v>
      </c>
      <c r="C202" s="1" t="s">
        <v>17</v>
      </c>
      <c r="D202" s="1" t="s">
        <v>18</v>
      </c>
      <c r="E202" s="1" t="s">
        <v>17</v>
      </c>
      <c r="F202" s="1">
        <v>1426</v>
      </c>
      <c r="G202" s="1" t="s">
        <v>19</v>
      </c>
      <c r="H202" s="1" t="s">
        <v>793</v>
      </c>
      <c r="I202" s="1" t="s">
        <v>794</v>
      </c>
      <c r="J202" s="1" t="s">
        <v>791</v>
      </c>
      <c r="K202" s="1" t="s">
        <v>792</v>
      </c>
      <c r="L202" s="1">
        <v>69.900000000000006</v>
      </c>
      <c r="M202" s="1" t="s">
        <v>24</v>
      </c>
      <c r="N202" s="3">
        <v>45341.37128472222</v>
      </c>
      <c r="O202" s="1" t="s">
        <v>784</v>
      </c>
      <c r="P202" s="1" t="s">
        <v>26</v>
      </c>
    </row>
    <row r="203" spans="1:16" ht="14.25" customHeight="1">
      <c r="A203" s="1">
        <v>156342</v>
      </c>
      <c r="B203" s="1" t="s">
        <v>49</v>
      </c>
      <c r="C203" s="1" t="s">
        <v>32</v>
      </c>
      <c r="D203" s="1" t="s">
        <v>18</v>
      </c>
      <c r="E203" s="1" t="s">
        <v>32</v>
      </c>
      <c r="F203" s="1">
        <v>1466</v>
      </c>
      <c r="G203" s="1" t="s">
        <v>19</v>
      </c>
      <c r="H203" s="1" t="s">
        <v>795</v>
      </c>
      <c r="I203" s="1" t="s">
        <v>796</v>
      </c>
      <c r="J203" s="1" t="s">
        <v>797</v>
      </c>
      <c r="K203" s="1" t="s">
        <v>798</v>
      </c>
      <c r="L203" s="1">
        <v>109</v>
      </c>
      <c r="M203" s="1" t="s">
        <v>24</v>
      </c>
      <c r="N203" s="3">
        <v>45341.371296296296</v>
      </c>
      <c r="O203" s="1" t="s">
        <v>784</v>
      </c>
      <c r="P203" s="1" t="s">
        <v>26</v>
      </c>
    </row>
    <row r="204" spans="1:16" ht="14.25" customHeight="1">
      <c r="A204" s="1">
        <v>186083</v>
      </c>
      <c r="B204" s="1" t="s">
        <v>31</v>
      </c>
      <c r="C204" s="1" t="s">
        <v>17</v>
      </c>
      <c r="D204" s="1" t="s">
        <v>18</v>
      </c>
      <c r="E204" s="1" t="s">
        <v>32</v>
      </c>
      <c r="F204" s="1">
        <v>624</v>
      </c>
      <c r="G204" s="1" t="s">
        <v>19</v>
      </c>
      <c r="H204" s="1" t="s">
        <v>799</v>
      </c>
      <c r="I204" s="1" t="s">
        <v>800</v>
      </c>
      <c r="J204" s="1" t="s">
        <v>801</v>
      </c>
      <c r="K204" s="1" t="s">
        <v>802</v>
      </c>
      <c r="L204" s="1">
        <v>49.9</v>
      </c>
      <c r="M204" s="1" t="s">
        <v>24</v>
      </c>
      <c r="N204" s="3">
        <v>45341.371307870373</v>
      </c>
      <c r="O204" s="1" t="s">
        <v>784</v>
      </c>
      <c r="P204" s="1" t="s">
        <v>26</v>
      </c>
    </row>
    <row r="205" spans="1:16" ht="14.25" customHeight="1">
      <c r="A205" s="1">
        <v>171776</v>
      </c>
      <c r="B205" s="1" t="s">
        <v>16</v>
      </c>
      <c r="C205" s="1" t="s">
        <v>32</v>
      </c>
      <c r="D205" s="1" t="s">
        <v>18</v>
      </c>
      <c r="E205" s="1" t="s">
        <v>17</v>
      </c>
      <c r="F205" s="1">
        <v>1685</v>
      </c>
      <c r="G205" s="1" t="s">
        <v>19</v>
      </c>
      <c r="H205" s="1" t="s">
        <v>803</v>
      </c>
      <c r="I205" s="1" t="s">
        <v>804</v>
      </c>
      <c r="J205" s="1" t="s">
        <v>805</v>
      </c>
      <c r="K205" s="1" t="s">
        <v>806</v>
      </c>
      <c r="L205" s="1">
        <v>12.99</v>
      </c>
      <c r="M205" s="1" t="s">
        <v>24</v>
      </c>
      <c r="N205" s="3">
        <v>45341.371307870373</v>
      </c>
      <c r="O205" s="1" t="s">
        <v>784</v>
      </c>
      <c r="P205" s="1" t="s">
        <v>26</v>
      </c>
    </row>
    <row r="206" spans="1:16" ht="14.25" customHeight="1">
      <c r="A206" s="1">
        <v>134429</v>
      </c>
      <c r="B206" s="1" t="s">
        <v>16</v>
      </c>
      <c r="C206" s="1" t="s">
        <v>17</v>
      </c>
      <c r="D206" s="1" t="s">
        <v>18</v>
      </c>
      <c r="E206" s="1" t="s">
        <v>17</v>
      </c>
      <c r="F206" s="1">
        <v>2914</v>
      </c>
      <c r="G206" s="1" t="s">
        <v>19</v>
      </c>
      <c r="H206" s="1" t="s">
        <v>807</v>
      </c>
      <c r="I206" s="1" t="s">
        <v>808</v>
      </c>
      <c r="J206" s="1" t="s">
        <v>809</v>
      </c>
      <c r="K206" s="1" t="s">
        <v>810</v>
      </c>
      <c r="L206" s="1">
        <v>69.900000000000006</v>
      </c>
      <c r="M206" s="1" t="s">
        <v>24</v>
      </c>
      <c r="N206" s="3">
        <v>45341.371319444443</v>
      </c>
      <c r="O206" s="1" t="s">
        <v>784</v>
      </c>
      <c r="P206" s="1" t="s">
        <v>26</v>
      </c>
    </row>
    <row r="207" spans="1:16" ht="14.25" customHeight="1">
      <c r="A207" s="1">
        <v>172816</v>
      </c>
      <c r="B207" s="1" t="s">
        <v>16</v>
      </c>
      <c r="C207" s="1" t="s">
        <v>17</v>
      </c>
      <c r="D207" s="1" t="s">
        <v>18</v>
      </c>
      <c r="E207" s="1" t="s">
        <v>32</v>
      </c>
      <c r="F207" s="1">
        <v>1524</v>
      </c>
      <c r="G207" s="1" t="s">
        <v>19</v>
      </c>
      <c r="H207" s="1" t="s">
        <v>811</v>
      </c>
      <c r="I207" s="1" t="s">
        <v>812</v>
      </c>
      <c r="J207" s="1" t="s">
        <v>813</v>
      </c>
      <c r="K207" s="1" t="s">
        <v>814</v>
      </c>
      <c r="L207" s="1">
        <v>69.900000000000006</v>
      </c>
      <c r="M207" s="1" t="s">
        <v>24</v>
      </c>
      <c r="N207" s="3">
        <v>45341.371342592596</v>
      </c>
      <c r="O207" s="1" t="s">
        <v>635</v>
      </c>
      <c r="P207" s="1" t="s">
        <v>26</v>
      </c>
    </row>
    <row r="208" spans="1:16" ht="14.25" customHeight="1">
      <c r="A208" s="1">
        <v>136272</v>
      </c>
      <c r="B208" s="1" t="s">
        <v>31</v>
      </c>
      <c r="C208" s="1" t="s">
        <v>17</v>
      </c>
      <c r="D208" s="1" t="s">
        <v>18</v>
      </c>
      <c r="E208" s="1" t="s">
        <v>32</v>
      </c>
      <c r="F208" s="1">
        <v>2887</v>
      </c>
      <c r="G208" s="1" t="s">
        <v>19</v>
      </c>
      <c r="H208" s="1" t="s">
        <v>815</v>
      </c>
      <c r="I208" s="1" t="s">
        <v>816</v>
      </c>
      <c r="J208" s="1" t="s">
        <v>817</v>
      </c>
      <c r="K208" s="1" t="s">
        <v>818</v>
      </c>
      <c r="L208" s="1">
        <v>12.99</v>
      </c>
      <c r="M208" s="1" t="s">
        <v>24</v>
      </c>
      <c r="N208" s="3">
        <v>45341.371354166666</v>
      </c>
      <c r="O208" s="1" t="s">
        <v>635</v>
      </c>
      <c r="P208" s="1" t="s">
        <v>26</v>
      </c>
    </row>
    <row r="209" spans="1:16" ht="14.25" customHeight="1">
      <c r="A209" s="1">
        <v>193227</v>
      </c>
      <c r="B209" s="1" t="s">
        <v>31</v>
      </c>
      <c r="C209" s="1" t="s">
        <v>32</v>
      </c>
      <c r="D209" s="1" t="s">
        <v>18</v>
      </c>
      <c r="E209" s="1" t="s">
        <v>32</v>
      </c>
      <c r="F209" s="1">
        <v>1778</v>
      </c>
      <c r="G209" s="1" t="s">
        <v>19</v>
      </c>
      <c r="H209" s="1" t="s">
        <v>819</v>
      </c>
      <c r="I209" s="1" t="s">
        <v>820</v>
      </c>
      <c r="J209" s="1" t="s">
        <v>821</v>
      </c>
      <c r="K209" s="1" t="s">
        <v>822</v>
      </c>
      <c r="L209" s="1">
        <v>69.900000000000006</v>
      </c>
      <c r="M209" s="1" t="s">
        <v>24</v>
      </c>
      <c r="N209" s="3">
        <v>45341.371365740742</v>
      </c>
      <c r="O209" s="1" t="s">
        <v>635</v>
      </c>
      <c r="P209" s="1" t="s">
        <v>26</v>
      </c>
    </row>
    <row r="210" spans="1:16" ht="14.25" customHeight="1">
      <c r="A210" s="1">
        <v>165786</v>
      </c>
      <c r="B210" s="1" t="s">
        <v>31</v>
      </c>
      <c r="C210" s="1" t="s">
        <v>17</v>
      </c>
      <c r="D210" s="1" t="s">
        <v>18</v>
      </c>
      <c r="E210" s="1" t="s">
        <v>32</v>
      </c>
      <c r="F210" s="1">
        <v>1278</v>
      </c>
      <c r="G210" s="1" t="s">
        <v>19</v>
      </c>
      <c r="H210" s="1" t="s">
        <v>823</v>
      </c>
      <c r="I210" s="1" t="s">
        <v>824</v>
      </c>
      <c r="J210" s="1" t="s">
        <v>825</v>
      </c>
      <c r="K210" s="1" t="s">
        <v>826</v>
      </c>
      <c r="L210" s="1">
        <v>59.9</v>
      </c>
      <c r="M210" s="1" t="s">
        <v>24</v>
      </c>
      <c r="N210" s="3">
        <v>45341.371377314812</v>
      </c>
      <c r="O210" s="1" t="s">
        <v>635</v>
      </c>
      <c r="P210" s="1" t="s">
        <v>26</v>
      </c>
    </row>
    <row r="211" spans="1:16" ht="14.25" customHeight="1">
      <c r="A211" s="1">
        <v>174708</v>
      </c>
      <c r="B211" s="1" t="s">
        <v>49</v>
      </c>
      <c r="C211" s="1" t="s">
        <v>17</v>
      </c>
      <c r="D211" s="1" t="s">
        <v>18</v>
      </c>
      <c r="E211" s="1" t="s">
        <v>32</v>
      </c>
      <c r="F211" s="1">
        <v>529</v>
      </c>
      <c r="G211" s="1" t="s">
        <v>19</v>
      </c>
      <c r="H211" s="1" t="s">
        <v>827</v>
      </c>
      <c r="I211" s="1" t="s">
        <v>828</v>
      </c>
      <c r="J211" s="1" t="s">
        <v>829</v>
      </c>
      <c r="K211" s="1" t="s">
        <v>830</v>
      </c>
      <c r="L211" s="1">
        <v>59.9</v>
      </c>
      <c r="M211" s="1" t="s">
        <v>24</v>
      </c>
      <c r="N211" s="3">
        <v>45341.371377314812</v>
      </c>
      <c r="O211" s="1" t="s">
        <v>635</v>
      </c>
      <c r="P211" s="1" t="s">
        <v>26</v>
      </c>
    </row>
    <row r="212" spans="1:16" ht="14.25" customHeight="1">
      <c r="A212" s="1">
        <v>142257</v>
      </c>
      <c r="B212" s="1" t="s">
        <v>16</v>
      </c>
      <c r="C212" s="1" t="s">
        <v>32</v>
      </c>
      <c r="D212" s="1" t="s">
        <v>18</v>
      </c>
      <c r="E212" s="1" t="s">
        <v>32</v>
      </c>
      <c r="F212" s="1">
        <v>1180</v>
      </c>
      <c r="G212" s="1" t="s">
        <v>19</v>
      </c>
      <c r="H212" s="1" t="s">
        <v>831</v>
      </c>
      <c r="I212" s="1" t="s">
        <v>832</v>
      </c>
      <c r="J212" s="1" t="s">
        <v>833</v>
      </c>
      <c r="K212" s="1" t="s">
        <v>834</v>
      </c>
      <c r="L212" s="1">
        <v>19.899999999999999</v>
      </c>
      <c r="M212" s="1" t="s">
        <v>24</v>
      </c>
      <c r="N212" s="3">
        <v>45341.372523148151</v>
      </c>
      <c r="O212" s="1" t="s">
        <v>835</v>
      </c>
      <c r="P212" s="1" t="s">
        <v>26</v>
      </c>
    </row>
    <row r="213" spans="1:16" ht="14.25" customHeight="1">
      <c r="A213" s="1">
        <v>126146</v>
      </c>
      <c r="B213" s="1" t="s">
        <v>16</v>
      </c>
      <c r="C213" s="1" t="s">
        <v>17</v>
      </c>
      <c r="D213" s="1" t="s">
        <v>18</v>
      </c>
      <c r="E213" s="1" t="s">
        <v>17</v>
      </c>
      <c r="F213" s="1">
        <v>2759</v>
      </c>
      <c r="G213" s="1" t="s">
        <v>19</v>
      </c>
      <c r="H213" s="1" t="s">
        <v>836</v>
      </c>
      <c r="I213" s="1" t="s">
        <v>837</v>
      </c>
      <c r="J213" s="1" t="s">
        <v>838</v>
      </c>
      <c r="K213" s="1" t="s">
        <v>839</v>
      </c>
      <c r="L213" s="1">
        <v>39.9</v>
      </c>
      <c r="M213" s="1" t="s">
        <v>24</v>
      </c>
      <c r="N213" s="3">
        <v>45341.372534722221</v>
      </c>
      <c r="O213" s="1" t="s">
        <v>835</v>
      </c>
      <c r="P213" s="1" t="s">
        <v>26</v>
      </c>
    </row>
    <row r="214" spans="1:16" ht="14.25" customHeight="1">
      <c r="A214" s="1">
        <v>129134</v>
      </c>
      <c r="B214" s="1" t="s">
        <v>16</v>
      </c>
      <c r="C214" s="1" t="s">
        <v>17</v>
      </c>
      <c r="D214" s="1" t="s">
        <v>18</v>
      </c>
      <c r="E214" s="1" t="s">
        <v>32</v>
      </c>
      <c r="F214" s="1">
        <v>1831</v>
      </c>
      <c r="G214" s="1" t="s">
        <v>19</v>
      </c>
      <c r="H214" s="1" t="s">
        <v>840</v>
      </c>
      <c r="I214" s="1" t="s">
        <v>841</v>
      </c>
      <c r="J214" s="1" t="s">
        <v>842</v>
      </c>
      <c r="K214" s="1" t="s">
        <v>843</v>
      </c>
      <c r="L214" s="1">
        <v>29.9</v>
      </c>
      <c r="M214" s="1" t="s">
        <v>24</v>
      </c>
      <c r="N214" s="3">
        <v>45341.372534722221</v>
      </c>
      <c r="O214" s="1" t="s">
        <v>835</v>
      </c>
      <c r="P214" s="1" t="s">
        <v>26</v>
      </c>
    </row>
    <row r="215" spans="1:16" ht="14.25" customHeight="1">
      <c r="A215" s="1">
        <v>129898</v>
      </c>
      <c r="B215" s="1" t="s">
        <v>31</v>
      </c>
      <c r="C215" s="1" t="s">
        <v>17</v>
      </c>
      <c r="D215" s="1" t="s">
        <v>18</v>
      </c>
      <c r="E215" s="1" t="s">
        <v>17</v>
      </c>
      <c r="F215" s="1">
        <v>1866</v>
      </c>
      <c r="G215" s="1" t="s">
        <v>19</v>
      </c>
      <c r="H215" s="1" t="s">
        <v>844</v>
      </c>
      <c r="I215" s="1" t="s">
        <v>845</v>
      </c>
      <c r="J215" s="1" t="s">
        <v>846</v>
      </c>
      <c r="K215" s="1" t="s">
        <v>847</v>
      </c>
      <c r="L215" s="1">
        <v>39.9</v>
      </c>
      <c r="M215" s="1" t="s">
        <v>24</v>
      </c>
      <c r="N215" s="3">
        <v>45341.372546296298</v>
      </c>
      <c r="O215" s="1" t="s">
        <v>835</v>
      </c>
      <c r="P215" s="1" t="s">
        <v>26</v>
      </c>
    </row>
    <row r="216" spans="1:16" ht="14.25" customHeight="1">
      <c r="A216" s="1">
        <v>189692</v>
      </c>
      <c r="B216" s="1" t="s">
        <v>31</v>
      </c>
      <c r="C216" s="1" t="s">
        <v>32</v>
      </c>
      <c r="D216" s="1" t="s">
        <v>18</v>
      </c>
      <c r="E216" s="1" t="s">
        <v>17</v>
      </c>
      <c r="F216" s="1">
        <v>1553</v>
      </c>
      <c r="G216" s="1" t="s">
        <v>19</v>
      </c>
      <c r="H216" s="1" t="s">
        <v>848</v>
      </c>
      <c r="I216" s="1" t="s">
        <v>849</v>
      </c>
      <c r="J216" s="1" t="s">
        <v>850</v>
      </c>
      <c r="K216" s="1" t="s">
        <v>851</v>
      </c>
      <c r="L216" s="1">
        <v>39.9</v>
      </c>
      <c r="M216" s="1" t="s">
        <v>24</v>
      </c>
      <c r="N216" s="3">
        <v>45341.372546296298</v>
      </c>
      <c r="O216" s="1" t="s">
        <v>835</v>
      </c>
      <c r="P216" s="1" t="s">
        <v>26</v>
      </c>
    </row>
    <row r="217" spans="1:16" ht="14.25" customHeight="1">
      <c r="A217" s="1">
        <v>154846</v>
      </c>
      <c r="B217" s="1" t="s">
        <v>31</v>
      </c>
      <c r="C217" s="1" t="s">
        <v>32</v>
      </c>
      <c r="D217" s="1" t="s">
        <v>18</v>
      </c>
      <c r="E217" s="1" t="s">
        <v>17</v>
      </c>
      <c r="F217" s="1">
        <v>917</v>
      </c>
      <c r="G217" s="1" t="s">
        <v>19</v>
      </c>
      <c r="H217" s="1" t="s">
        <v>852</v>
      </c>
      <c r="I217" s="1" t="s">
        <v>853</v>
      </c>
      <c r="J217" s="1" t="s">
        <v>854</v>
      </c>
      <c r="K217" s="1" t="s">
        <v>855</v>
      </c>
      <c r="L217" s="1">
        <v>39.9</v>
      </c>
      <c r="M217" s="1" t="s">
        <v>24</v>
      </c>
      <c r="N217" s="3">
        <v>45341.372557870367</v>
      </c>
      <c r="O217" s="1" t="s">
        <v>835</v>
      </c>
      <c r="P217" s="1" t="s">
        <v>26</v>
      </c>
    </row>
    <row r="218" spans="1:16" ht="14.25" customHeight="1">
      <c r="A218" s="1">
        <v>122307</v>
      </c>
      <c r="B218" s="1" t="s">
        <v>31</v>
      </c>
      <c r="C218" s="1" t="s">
        <v>17</v>
      </c>
      <c r="D218" s="1" t="s">
        <v>18</v>
      </c>
      <c r="E218" s="1" t="s">
        <v>17</v>
      </c>
      <c r="F218" s="1">
        <v>702</v>
      </c>
      <c r="G218" s="1" t="s">
        <v>19</v>
      </c>
      <c r="H218" s="1" t="s">
        <v>856</v>
      </c>
      <c r="I218" s="1" t="s">
        <v>857</v>
      </c>
      <c r="J218" s="1" t="s">
        <v>858</v>
      </c>
      <c r="K218" s="1" t="s">
        <v>859</v>
      </c>
      <c r="L218" s="1">
        <v>49.9</v>
      </c>
      <c r="M218" s="1" t="s">
        <v>24</v>
      </c>
      <c r="N218" s="3">
        <v>45341.372569444444</v>
      </c>
      <c r="O218" s="1" t="s">
        <v>835</v>
      </c>
      <c r="P218" s="1" t="s">
        <v>26</v>
      </c>
    </row>
    <row r="219" spans="1:16" ht="14.25" customHeight="1">
      <c r="A219" s="1">
        <v>182099</v>
      </c>
      <c r="B219" s="1" t="s">
        <v>16</v>
      </c>
      <c r="C219" s="1" t="s">
        <v>32</v>
      </c>
      <c r="D219" s="1" t="s">
        <v>18</v>
      </c>
      <c r="E219" s="1" t="s">
        <v>17</v>
      </c>
      <c r="F219" s="1">
        <v>1978</v>
      </c>
      <c r="G219" s="1" t="s">
        <v>19</v>
      </c>
      <c r="H219" s="1" t="s">
        <v>860</v>
      </c>
      <c r="I219" s="1" t="s">
        <v>861</v>
      </c>
      <c r="J219" s="1" t="s">
        <v>862</v>
      </c>
      <c r="K219" s="1" t="s">
        <v>863</v>
      </c>
      <c r="L219" s="1">
        <v>39.9</v>
      </c>
      <c r="M219" s="1" t="s">
        <v>24</v>
      </c>
      <c r="N219" s="3">
        <v>45341.372569444444</v>
      </c>
      <c r="O219" s="1" t="s">
        <v>835</v>
      </c>
      <c r="P219" s="1" t="s">
        <v>26</v>
      </c>
    </row>
    <row r="220" spans="1:16" ht="14.25" customHeight="1">
      <c r="A220" s="1">
        <v>159816</v>
      </c>
      <c r="B220" s="1" t="s">
        <v>49</v>
      </c>
      <c r="C220" s="1" t="s">
        <v>17</v>
      </c>
      <c r="D220" s="1" t="s">
        <v>18</v>
      </c>
      <c r="E220" s="1" t="s">
        <v>32</v>
      </c>
      <c r="F220" s="1">
        <v>1961</v>
      </c>
      <c r="G220" s="1" t="s">
        <v>19</v>
      </c>
      <c r="H220" s="1" t="s">
        <v>864</v>
      </c>
      <c r="I220" s="1" t="s">
        <v>865</v>
      </c>
      <c r="J220" s="1" t="s">
        <v>866</v>
      </c>
      <c r="K220" s="1" t="s">
        <v>867</v>
      </c>
      <c r="L220" s="1">
        <v>27.9</v>
      </c>
      <c r="M220" s="1" t="s">
        <v>24</v>
      </c>
      <c r="N220" s="3">
        <v>45341.372581018521</v>
      </c>
      <c r="O220" s="1" t="s">
        <v>835</v>
      </c>
      <c r="P220" s="1" t="s">
        <v>26</v>
      </c>
    </row>
    <row r="221" spans="1:16" ht="14.25" customHeight="1">
      <c r="A221" s="1">
        <v>165326</v>
      </c>
      <c r="B221" s="1" t="s">
        <v>16</v>
      </c>
      <c r="C221" s="1" t="s">
        <v>17</v>
      </c>
      <c r="D221" s="1" t="s">
        <v>18</v>
      </c>
      <c r="E221" s="1" t="s">
        <v>17</v>
      </c>
      <c r="F221" s="1">
        <v>1188</v>
      </c>
      <c r="G221" s="1" t="s">
        <v>19</v>
      </c>
      <c r="H221" s="1" t="s">
        <v>868</v>
      </c>
      <c r="I221" s="1" t="s">
        <v>869</v>
      </c>
      <c r="J221" s="1" t="s">
        <v>870</v>
      </c>
      <c r="K221" s="1" t="s">
        <v>871</v>
      </c>
      <c r="L221" s="1">
        <v>45.9</v>
      </c>
      <c r="M221" s="1" t="s">
        <v>24</v>
      </c>
      <c r="N221" s="3">
        <v>45341.372581018521</v>
      </c>
      <c r="O221" s="1" t="s">
        <v>835</v>
      </c>
      <c r="P221" s="1" t="s">
        <v>26</v>
      </c>
    </row>
    <row r="222" spans="1:16" ht="14.25" customHeight="1">
      <c r="A222" s="1">
        <v>185154</v>
      </c>
      <c r="B222" s="1" t="s">
        <v>16</v>
      </c>
      <c r="C222" s="1" t="s">
        <v>32</v>
      </c>
      <c r="D222" s="1" t="s">
        <v>18</v>
      </c>
      <c r="E222" s="1" t="s">
        <v>17</v>
      </c>
      <c r="F222" s="1">
        <v>996</v>
      </c>
      <c r="G222" s="1" t="s">
        <v>19</v>
      </c>
      <c r="H222" s="1" t="s">
        <v>872</v>
      </c>
      <c r="I222" s="1" t="s">
        <v>873</v>
      </c>
      <c r="J222" s="1" t="s">
        <v>874</v>
      </c>
      <c r="K222" s="1" t="s">
        <v>875</v>
      </c>
      <c r="L222" s="1">
        <v>39.9</v>
      </c>
      <c r="M222" s="1" t="s">
        <v>24</v>
      </c>
      <c r="N222" s="3">
        <v>45341.37259259259</v>
      </c>
      <c r="O222" s="1" t="s">
        <v>835</v>
      </c>
      <c r="P222" s="1" t="s">
        <v>26</v>
      </c>
    </row>
    <row r="223" spans="1:16" ht="14.25" customHeight="1">
      <c r="A223" s="1">
        <v>141330</v>
      </c>
      <c r="B223" s="1" t="s">
        <v>16</v>
      </c>
      <c r="C223" s="1" t="s">
        <v>17</v>
      </c>
      <c r="D223" s="1" t="s">
        <v>18</v>
      </c>
      <c r="E223" s="1" t="s">
        <v>32</v>
      </c>
      <c r="F223" s="1">
        <v>1915</v>
      </c>
      <c r="G223" s="1" t="s">
        <v>19</v>
      </c>
      <c r="H223" s="1" t="s">
        <v>876</v>
      </c>
      <c r="I223" s="1" t="s">
        <v>877</v>
      </c>
      <c r="J223" s="1" t="s">
        <v>878</v>
      </c>
      <c r="K223" s="1" t="s">
        <v>879</v>
      </c>
      <c r="L223" s="1">
        <v>39.9</v>
      </c>
      <c r="M223" s="1" t="s">
        <v>24</v>
      </c>
      <c r="N223" s="3">
        <v>45341.372604166667</v>
      </c>
      <c r="O223" s="1" t="s">
        <v>835</v>
      </c>
      <c r="P223" s="1" t="s">
        <v>26</v>
      </c>
    </row>
    <row r="224" spans="1:16" ht="14.25" customHeight="1">
      <c r="A224" s="1">
        <v>158958</v>
      </c>
      <c r="B224" s="1" t="s">
        <v>31</v>
      </c>
      <c r="C224" s="1" t="s">
        <v>17</v>
      </c>
      <c r="D224" s="1" t="s">
        <v>18</v>
      </c>
      <c r="E224" s="1" t="s">
        <v>17</v>
      </c>
      <c r="F224" s="1">
        <v>903</v>
      </c>
      <c r="G224" s="1" t="s">
        <v>19</v>
      </c>
      <c r="H224" s="1" t="s">
        <v>880</v>
      </c>
      <c r="I224" s="1" t="s">
        <v>881</v>
      </c>
      <c r="J224" s="1" t="s">
        <v>858</v>
      </c>
      <c r="K224" s="1" t="s">
        <v>882</v>
      </c>
      <c r="L224" s="1">
        <v>45.9</v>
      </c>
      <c r="M224" s="1" t="s">
        <v>24</v>
      </c>
      <c r="N224" s="3">
        <v>45341.372604166667</v>
      </c>
      <c r="O224" s="1" t="s">
        <v>835</v>
      </c>
      <c r="P224" s="1" t="s">
        <v>26</v>
      </c>
    </row>
    <row r="225" spans="1:16" ht="14.25" customHeight="1">
      <c r="A225" s="1">
        <v>155010</v>
      </c>
      <c r="B225" s="1" t="s">
        <v>16</v>
      </c>
      <c r="C225" s="1" t="s">
        <v>32</v>
      </c>
      <c r="D225" s="1" t="s">
        <v>18</v>
      </c>
      <c r="E225" s="1" t="s">
        <v>32</v>
      </c>
      <c r="F225" s="1">
        <v>729</v>
      </c>
      <c r="G225" s="1" t="s">
        <v>19</v>
      </c>
      <c r="H225" s="1" t="s">
        <v>883</v>
      </c>
      <c r="I225" s="1" t="s">
        <v>884</v>
      </c>
      <c r="J225" s="1" t="s">
        <v>885</v>
      </c>
      <c r="K225" s="1" t="s">
        <v>886</v>
      </c>
      <c r="L225" s="1">
        <v>45.9</v>
      </c>
      <c r="M225" s="1" t="s">
        <v>24</v>
      </c>
      <c r="N225" s="3">
        <v>45341.372615740744</v>
      </c>
      <c r="O225" s="1" t="s">
        <v>835</v>
      </c>
      <c r="P225" s="1" t="s">
        <v>26</v>
      </c>
    </row>
    <row r="226" spans="1:16" ht="14.25" customHeight="1">
      <c r="A226" s="1">
        <v>135857</v>
      </c>
      <c r="B226" s="1" t="s">
        <v>16</v>
      </c>
      <c r="C226" s="1" t="s">
        <v>17</v>
      </c>
      <c r="D226" s="1" t="s">
        <v>18</v>
      </c>
      <c r="E226" s="1" t="s">
        <v>32</v>
      </c>
      <c r="F226" s="1">
        <v>2045</v>
      </c>
      <c r="G226" s="1" t="s">
        <v>19</v>
      </c>
      <c r="H226" s="1" t="s">
        <v>887</v>
      </c>
      <c r="I226" s="1" t="s">
        <v>888</v>
      </c>
      <c r="J226" s="1" t="s">
        <v>889</v>
      </c>
      <c r="K226" s="1" t="s">
        <v>890</v>
      </c>
      <c r="L226" s="1">
        <v>45.9</v>
      </c>
      <c r="M226" s="1" t="s">
        <v>24</v>
      </c>
      <c r="N226" s="3">
        <v>45341.372615740744</v>
      </c>
      <c r="O226" s="1" t="s">
        <v>835</v>
      </c>
      <c r="P226" s="1" t="s">
        <v>26</v>
      </c>
    </row>
    <row r="227" spans="1:16" ht="14.25" customHeight="1">
      <c r="A227" s="1">
        <v>147690</v>
      </c>
      <c r="B227" s="1" t="s">
        <v>16</v>
      </c>
      <c r="C227" s="1" t="s">
        <v>32</v>
      </c>
      <c r="D227" s="1" t="s">
        <v>18</v>
      </c>
      <c r="E227" s="1" t="s">
        <v>17</v>
      </c>
      <c r="F227" s="1">
        <v>881</v>
      </c>
      <c r="G227" s="1" t="s">
        <v>19</v>
      </c>
      <c r="H227" s="1" t="s">
        <v>891</v>
      </c>
      <c r="I227" s="1" t="s">
        <v>892</v>
      </c>
      <c r="J227" s="1" t="s">
        <v>893</v>
      </c>
      <c r="K227" s="1" t="s">
        <v>894</v>
      </c>
      <c r="L227" s="1">
        <v>39.9</v>
      </c>
      <c r="M227" s="1" t="s">
        <v>24</v>
      </c>
      <c r="N227" s="3">
        <v>45341.372627314813</v>
      </c>
      <c r="O227" s="1" t="s">
        <v>835</v>
      </c>
      <c r="P227" s="1" t="s">
        <v>26</v>
      </c>
    </row>
    <row r="228" spans="1:16" ht="14.25" customHeight="1">
      <c r="A228" s="1">
        <v>130321</v>
      </c>
      <c r="B228" s="1" t="s">
        <v>31</v>
      </c>
      <c r="C228" s="1" t="s">
        <v>32</v>
      </c>
      <c r="D228" s="1" t="s">
        <v>18</v>
      </c>
      <c r="E228" s="1" t="s">
        <v>17</v>
      </c>
      <c r="F228" s="1">
        <v>2093</v>
      </c>
      <c r="G228" s="1" t="s">
        <v>19</v>
      </c>
      <c r="H228" s="1" t="s">
        <v>895</v>
      </c>
      <c r="I228" s="1" t="s">
        <v>896</v>
      </c>
      <c r="J228" s="1" t="s">
        <v>897</v>
      </c>
      <c r="K228" s="1" t="s">
        <v>898</v>
      </c>
      <c r="L228" s="1">
        <v>39.9</v>
      </c>
      <c r="M228" s="1" t="s">
        <v>24</v>
      </c>
      <c r="N228" s="3">
        <v>45341.372627314813</v>
      </c>
      <c r="O228" s="1" t="s">
        <v>835</v>
      </c>
      <c r="P228" s="1" t="s">
        <v>26</v>
      </c>
    </row>
    <row r="229" spans="1:16" ht="14.25" customHeight="1">
      <c r="A229" s="1">
        <v>196752</v>
      </c>
      <c r="B229" s="1" t="s">
        <v>31</v>
      </c>
      <c r="C229" s="1" t="s">
        <v>17</v>
      </c>
      <c r="D229" s="1" t="s">
        <v>18</v>
      </c>
      <c r="E229" s="1" t="s">
        <v>17</v>
      </c>
      <c r="F229" s="1">
        <v>2227</v>
      </c>
      <c r="G229" s="1" t="s">
        <v>19</v>
      </c>
      <c r="H229" s="1" t="s">
        <v>899</v>
      </c>
      <c r="I229" s="1" t="s">
        <v>900</v>
      </c>
      <c r="J229" s="1" t="s">
        <v>870</v>
      </c>
      <c r="K229" s="1" t="s">
        <v>871</v>
      </c>
      <c r="L229" s="1">
        <v>45.9</v>
      </c>
      <c r="M229" s="1" t="s">
        <v>24</v>
      </c>
      <c r="N229" s="3">
        <v>45341.37263888889</v>
      </c>
      <c r="O229" s="1" t="s">
        <v>835</v>
      </c>
      <c r="P229" s="1" t="s">
        <v>26</v>
      </c>
    </row>
    <row r="230" spans="1:16" ht="14.25" customHeight="1">
      <c r="A230" s="1">
        <v>181011</v>
      </c>
      <c r="B230" s="1" t="s">
        <v>16</v>
      </c>
      <c r="C230" s="1" t="s">
        <v>32</v>
      </c>
      <c r="D230" s="1" t="s">
        <v>18</v>
      </c>
      <c r="E230" s="1" t="s">
        <v>32</v>
      </c>
      <c r="F230" s="1">
        <v>994</v>
      </c>
      <c r="G230" s="1" t="s">
        <v>19</v>
      </c>
      <c r="H230" s="1" t="s">
        <v>673</v>
      </c>
      <c r="I230" s="1" t="s">
        <v>436</v>
      </c>
      <c r="J230" s="1" t="s">
        <v>68</v>
      </c>
      <c r="K230" s="1" t="s">
        <v>551</v>
      </c>
      <c r="L230" s="1">
        <v>89.9</v>
      </c>
      <c r="M230" s="1" t="s">
        <v>24</v>
      </c>
      <c r="N230" s="3">
        <v>45341.382314814815</v>
      </c>
      <c r="O230" s="1" t="s">
        <v>516</v>
      </c>
      <c r="P230" s="1" t="s">
        <v>26</v>
      </c>
    </row>
    <row r="231" spans="1:16" ht="14.25" customHeight="1">
      <c r="A231" s="1">
        <v>139967</v>
      </c>
      <c r="B231" s="1" t="s">
        <v>31</v>
      </c>
      <c r="C231" s="1" t="s">
        <v>17</v>
      </c>
      <c r="D231" s="1" t="s">
        <v>18</v>
      </c>
      <c r="E231" s="1" t="s">
        <v>17</v>
      </c>
      <c r="F231" s="1">
        <v>2634</v>
      </c>
      <c r="G231" s="1" t="s">
        <v>19</v>
      </c>
      <c r="H231" s="1" t="s">
        <v>677</v>
      </c>
      <c r="I231" s="1" t="s">
        <v>440</v>
      </c>
      <c r="J231" s="1" t="s">
        <v>72</v>
      </c>
      <c r="K231" s="1" t="s">
        <v>724</v>
      </c>
      <c r="L231" s="1">
        <v>69.900000000000006</v>
      </c>
      <c r="M231" s="1" t="s">
        <v>24</v>
      </c>
      <c r="N231" s="3">
        <v>45341.382326388892</v>
      </c>
      <c r="O231" s="1" t="s">
        <v>835</v>
      </c>
      <c r="P231" s="1" t="s">
        <v>26</v>
      </c>
    </row>
    <row r="232" spans="1:16" ht="14.25" customHeight="1">
      <c r="A232" s="1">
        <v>162699</v>
      </c>
      <c r="B232" s="1" t="s">
        <v>31</v>
      </c>
      <c r="C232" s="1" t="s">
        <v>17</v>
      </c>
      <c r="D232" s="1" t="s">
        <v>18</v>
      </c>
      <c r="E232" s="1" t="s">
        <v>32</v>
      </c>
      <c r="F232" s="1">
        <v>2732</v>
      </c>
      <c r="G232" s="1" t="s">
        <v>19</v>
      </c>
      <c r="H232" s="1" t="s">
        <v>681</v>
      </c>
      <c r="I232" s="1" t="s">
        <v>443</v>
      </c>
      <c r="J232" s="1" t="s">
        <v>76</v>
      </c>
      <c r="K232" s="1" t="s">
        <v>652</v>
      </c>
      <c r="L232" s="1">
        <v>89.9</v>
      </c>
      <c r="M232" s="1" t="s">
        <v>24</v>
      </c>
      <c r="N232" s="3">
        <v>45341.382326388892</v>
      </c>
      <c r="O232" s="1" t="s">
        <v>635</v>
      </c>
      <c r="P232" s="1" t="s">
        <v>26</v>
      </c>
    </row>
    <row r="233" spans="1:16" ht="14.25" customHeight="1">
      <c r="A233" s="1">
        <v>119044</v>
      </c>
      <c r="B233" s="1" t="s">
        <v>16</v>
      </c>
      <c r="C233" s="1" t="s">
        <v>17</v>
      </c>
      <c r="D233" s="1" t="s">
        <v>18</v>
      </c>
      <c r="E233" s="1" t="s">
        <v>32</v>
      </c>
      <c r="F233" s="1">
        <v>1140</v>
      </c>
      <c r="G233" s="1" t="s">
        <v>19</v>
      </c>
      <c r="H233" s="1" t="s">
        <v>685</v>
      </c>
      <c r="I233" s="1" t="s">
        <v>447</v>
      </c>
      <c r="J233" s="1" t="s">
        <v>80</v>
      </c>
      <c r="K233" s="1" t="s">
        <v>466</v>
      </c>
      <c r="L233" s="1">
        <v>169</v>
      </c>
      <c r="M233" s="1" t="s">
        <v>24</v>
      </c>
      <c r="N233" s="3">
        <v>45341.382337962961</v>
      </c>
      <c r="O233" s="1" t="s">
        <v>635</v>
      </c>
      <c r="P233" s="1" t="s">
        <v>26</v>
      </c>
    </row>
    <row r="234" spans="1:16" ht="14.25" customHeight="1">
      <c r="A234" s="1">
        <v>121348</v>
      </c>
      <c r="B234" s="1" t="s">
        <v>31</v>
      </c>
      <c r="C234" s="1" t="s">
        <v>17</v>
      </c>
      <c r="D234" s="1" t="s">
        <v>18</v>
      </c>
      <c r="E234" s="1" t="s">
        <v>32</v>
      </c>
      <c r="F234" s="1">
        <v>1008</v>
      </c>
      <c r="G234" s="1" t="s">
        <v>19</v>
      </c>
      <c r="H234" s="1" t="s">
        <v>689</v>
      </c>
      <c r="I234" s="1" t="s">
        <v>450</v>
      </c>
      <c r="J234" s="1" t="s">
        <v>84</v>
      </c>
      <c r="K234" s="1" t="s">
        <v>470</v>
      </c>
      <c r="L234" s="1">
        <v>169</v>
      </c>
      <c r="M234" s="1" t="s">
        <v>24</v>
      </c>
      <c r="N234" s="3">
        <v>45341.382349537038</v>
      </c>
      <c r="O234" s="1" t="s">
        <v>835</v>
      </c>
      <c r="P234" s="1" t="s">
        <v>26</v>
      </c>
    </row>
    <row r="235" spans="1:16" ht="14.25" customHeight="1">
      <c r="A235" s="1">
        <v>163982</v>
      </c>
      <c r="B235" s="1" t="s">
        <v>49</v>
      </c>
      <c r="C235" s="1" t="s">
        <v>17</v>
      </c>
      <c r="D235" s="1" t="s">
        <v>18</v>
      </c>
      <c r="E235" s="1" t="s">
        <v>17</v>
      </c>
      <c r="F235" s="1">
        <v>2685</v>
      </c>
      <c r="G235" s="1" t="s">
        <v>19</v>
      </c>
      <c r="H235" s="1" t="s">
        <v>693</v>
      </c>
      <c r="I235" s="1" t="s">
        <v>454</v>
      </c>
      <c r="J235" s="1" t="s">
        <v>88</v>
      </c>
      <c r="K235" s="1" t="s">
        <v>473</v>
      </c>
      <c r="L235" s="1">
        <v>169</v>
      </c>
      <c r="M235" s="1" t="s">
        <v>24</v>
      </c>
      <c r="N235" s="3">
        <v>45341.382349537038</v>
      </c>
      <c r="O235" s="1" t="s">
        <v>835</v>
      </c>
      <c r="P235" s="1" t="s">
        <v>26</v>
      </c>
    </row>
    <row r="236" spans="1:16" ht="14.25" customHeight="1">
      <c r="A236" s="1">
        <v>185774</v>
      </c>
      <c r="B236" s="1" t="s">
        <v>31</v>
      </c>
      <c r="C236" s="1" t="s">
        <v>32</v>
      </c>
      <c r="D236" s="1" t="s">
        <v>18</v>
      </c>
      <c r="E236" s="1" t="s">
        <v>32</v>
      </c>
      <c r="F236" s="1">
        <v>1145</v>
      </c>
      <c r="G236" s="1" t="s">
        <v>19</v>
      </c>
      <c r="H236" s="1" t="s">
        <v>697</v>
      </c>
      <c r="I236" s="1" t="s">
        <v>458</v>
      </c>
      <c r="J236" s="1" t="s">
        <v>92</v>
      </c>
      <c r="K236" s="1" t="s">
        <v>476</v>
      </c>
      <c r="L236" s="1">
        <v>19.989999999999998</v>
      </c>
      <c r="M236" s="1" t="s">
        <v>24</v>
      </c>
      <c r="N236" s="3">
        <v>45341.382361111115</v>
      </c>
      <c r="O236" s="1" t="s">
        <v>835</v>
      </c>
      <c r="P236" s="1" t="s">
        <v>26</v>
      </c>
    </row>
    <row r="237" spans="1:16" ht="14.25" customHeight="1">
      <c r="A237" s="1">
        <v>144651</v>
      </c>
      <c r="B237" s="1" t="s">
        <v>16</v>
      </c>
      <c r="C237" s="1" t="s">
        <v>32</v>
      </c>
      <c r="D237" s="1" t="s">
        <v>18</v>
      </c>
      <c r="E237" s="1" t="s">
        <v>17</v>
      </c>
      <c r="F237" s="1">
        <v>1791</v>
      </c>
      <c r="G237" s="1" t="s">
        <v>19</v>
      </c>
      <c r="H237" s="1" t="s">
        <v>701</v>
      </c>
      <c r="I237" s="1" t="s">
        <v>461</v>
      </c>
      <c r="J237" s="1" t="s">
        <v>96</v>
      </c>
      <c r="K237" s="1" t="s">
        <v>480</v>
      </c>
      <c r="L237" s="1">
        <v>139</v>
      </c>
      <c r="M237" s="1" t="s">
        <v>24</v>
      </c>
      <c r="N237" s="3">
        <v>45341.382361111115</v>
      </c>
      <c r="O237" s="1" t="s">
        <v>835</v>
      </c>
      <c r="P237" s="1" t="s">
        <v>26</v>
      </c>
    </row>
    <row r="238" spans="1:16" ht="14.25" customHeight="1">
      <c r="A238" s="1">
        <v>195103</v>
      </c>
      <c r="B238" s="1" t="s">
        <v>16</v>
      </c>
      <c r="C238" s="1" t="s">
        <v>32</v>
      </c>
      <c r="D238" s="1" t="s">
        <v>18</v>
      </c>
      <c r="E238" s="1" t="s">
        <v>17</v>
      </c>
      <c r="F238" s="1">
        <v>2849</v>
      </c>
      <c r="G238" s="1" t="s">
        <v>19</v>
      </c>
      <c r="H238" s="1" t="s">
        <v>705</v>
      </c>
      <c r="I238" s="1" t="s">
        <v>465</v>
      </c>
      <c r="J238" s="1" t="s">
        <v>100</v>
      </c>
      <c r="K238" s="1" t="s">
        <v>148</v>
      </c>
      <c r="L238" s="1">
        <v>109</v>
      </c>
      <c r="M238" s="1" t="s">
        <v>24</v>
      </c>
      <c r="N238" s="3">
        <v>45341.382372685184</v>
      </c>
      <c r="O238" s="1" t="s">
        <v>835</v>
      </c>
      <c r="P238" s="1" t="s">
        <v>26</v>
      </c>
    </row>
    <row r="239" spans="1:16" ht="14.25" customHeight="1">
      <c r="A239" s="1">
        <v>123047</v>
      </c>
      <c r="B239" s="1" t="s">
        <v>16</v>
      </c>
      <c r="C239" s="1" t="s">
        <v>17</v>
      </c>
      <c r="D239" s="1" t="s">
        <v>18</v>
      </c>
      <c r="E239" s="1" t="s">
        <v>32</v>
      </c>
      <c r="F239" s="1">
        <v>2985</v>
      </c>
      <c r="G239" s="1" t="s">
        <v>19</v>
      </c>
      <c r="H239" s="1" t="s">
        <v>709</v>
      </c>
      <c r="I239" s="1" t="s">
        <v>468</v>
      </c>
      <c r="J239" s="1" t="s">
        <v>56</v>
      </c>
      <c r="K239" s="1" t="s">
        <v>323</v>
      </c>
      <c r="L239" s="1">
        <v>109</v>
      </c>
      <c r="M239" s="1" t="s">
        <v>24</v>
      </c>
      <c r="N239" s="3">
        <v>45341.382372685184</v>
      </c>
      <c r="O239" s="1" t="s">
        <v>835</v>
      </c>
      <c r="P239" s="1" t="s">
        <v>26</v>
      </c>
    </row>
    <row r="240" spans="1:16" ht="14.25" customHeight="1">
      <c r="A240" s="1">
        <v>123077</v>
      </c>
      <c r="B240" s="1" t="s">
        <v>49</v>
      </c>
      <c r="C240" s="1" t="s">
        <v>17</v>
      </c>
      <c r="D240" s="1" t="s">
        <v>18</v>
      </c>
      <c r="E240" s="1" t="s">
        <v>17</v>
      </c>
      <c r="F240" s="1">
        <v>1603</v>
      </c>
      <c r="G240" s="1" t="s">
        <v>19</v>
      </c>
      <c r="H240" s="1" t="s">
        <v>713</v>
      </c>
      <c r="I240" s="1" t="s">
        <v>472</v>
      </c>
      <c r="J240" s="1" t="s">
        <v>107</v>
      </c>
      <c r="K240" s="1" t="s">
        <v>326</v>
      </c>
      <c r="L240" s="1">
        <v>109</v>
      </c>
      <c r="M240" s="1" t="s">
        <v>24</v>
      </c>
      <c r="N240" s="3">
        <v>45341.382384259261</v>
      </c>
      <c r="O240" s="1" t="s">
        <v>835</v>
      </c>
      <c r="P240" s="1" t="s">
        <v>26</v>
      </c>
    </row>
    <row r="241" spans="1:16" ht="14.25" customHeight="1">
      <c r="A241" s="1">
        <v>171860</v>
      </c>
      <c r="B241" s="1" t="s">
        <v>16</v>
      </c>
      <c r="C241" s="1" t="s">
        <v>32</v>
      </c>
      <c r="D241" s="1" t="s">
        <v>18</v>
      </c>
      <c r="E241" s="1" t="s">
        <v>17</v>
      </c>
      <c r="F241" s="1">
        <v>707</v>
      </c>
      <c r="G241" s="1" t="s">
        <v>19</v>
      </c>
      <c r="H241" s="1" t="s">
        <v>717</v>
      </c>
      <c r="I241" s="1" t="s">
        <v>475</v>
      </c>
      <c r="J241" s="1" t="s">
        <v>111</v>
      </c>
      <c r="K241" s="1" t="s">
        <v>330</v>
      </c>
      <c r="L241" s="1">
        <v>109</v>
      </c>
      <c r="M241" s="1" t="s">
        <v>24</v>
      </c>
      <c r="N241" s="3">
        <v>45341.382395833331</v>
      </c>
      <c r="O241" s="1" t="s">
        <v>835</v>
      </c>
      <c r="P241" s="1" t="s">
        <v>26</v>
      </c>
    </row>
    <row r="242" spans="1:16" ht="14.25" customHeight="1">
      <c r="A242" s="1">
        <v>149487</v>
      </c>
      <c r="B242" s="1" t="s">
        <v>16</v>
      </c>
      <c r="C242" s="1" t="s">
        <v>17</v>
      </c>
      <c r="D242" s="1" t="s">
        <v>18</v>
      </c>
      <c r="E242" s="1" t="s">
        <v>32</v>
      </c>
      <c r="F242" s="1">
        <v>1258</v>
      </c>
      <c r="G242" s="1" t="s">
        <v>19</v>
      </c>
      <c r="H242" s="1" t="s">
        <v>721</v>
      </c>
      <c r="I242" s="1" t="s">
        <v>478</v>
      </c>
      <c r="J242" s="1" t="s">
        <v>115</v>
      </c>
      <c r="K242" s="1" t="s">
        <v>334</v>
      </c>
      <c r="L242" s="1">
        <v>99.9</v>
      </c>
      <c r="M242" s="1" t="s">
        <v>24</v>
      </c>
      <c r="N242" s="3">
        <v>45341.382395833331</v>
      </c>
      <c r="O242" s="1" t="s">
        <v>835</v>
      </c>
      <c r="P242" s="1" t="s">
        <v>26</v>
      </c>
    </row>
    <row r="243" spans="1:16" ht="14.25" customHeight="1">
      <c r="A243" s="1">
        <v>168516</v>
      </c>
      <c r="B243" s="1" t="s">
        <v>49</v>
      </c>
      <c r="C243" s="1" t="s">
        <v>32</v>
      </c>
      <c r="D243" s="1" t="s">
        <v>18</v>
      </c>
      <c r="E243" s="1" t="s">
        <v>17</v>
      </c>
      <c r="F243" s="1">
        <v>2168</v>
      </c>
      <c r="G243" s="1" t="s">
        <v>19</v>
      </c>
      <c r="H243" s="1" t="s">
        <v>725</v>
      </c>
      <c r="I243" s="1" t="s">
        <v>482</v>
      </c>
      <c r="J243" s="1" t="s">
        <v>119</v>
      </c>
      <c r="K243" s="1" t="s">
        <v>338</v>
      </c>
      <c r="L243" s="1">
        <v>89.9</v>
      </c>
      <c r="M243" s="1" t="s">
        <v>24</v>
      </c>
      <c r="N243" s="3">
        <v>45341.382407407407</v>
      </c>
      <c r="O243" s="1" t="s">
        <v>835</v>
      </c>
      <c r="P243" s="1" t="s">
        <v>26</v>
      </c>
    </row>
    <row r="244" spans="1:16" ht="14.25" customHeight="1">
      <c r="A244" s="1">
        <v>177771</v>
      </c>
      <c r="B244" s="1" t="s">
        <v>31</v>
      </c>
      <c r="C244" s="1" t="s">
        <v>32</v>
      </c>
      <c r="D244" s="1" t="s">
        <v>18</v>
      </c>
      <c r="E244" s="1" t="s">
        <v>32</v>
      </c>
      <c r="F244" s="1">
        <v>1764</v>
      </c>
      <c r="G244" s="1" t="s">
        <v>19</v>
      </c>
      <c r="H244" s="1" t="s">
        <v>729</v>
      </c>
      <c r="I244" s="1" t="s">
        <v>486</v>
      </c>
      <c r="J244" s="1" t="s">
        <v>123</v>
      </c>
      <c r="K244" s="1" t="s">
        <v>342</v>
      </c>
      <c r="L244" s="1">
        <v>69.900000000000006</v>
      </c>
      <c r="M244" s="1" t="s">
        <v>24</v>
      </c>
      <c r="N244" s="3">
        <v>45341.382418981484</v>
      </c>
      <c r="O244" s="1" t="s">
        <v>835</v>
      </c>
      <c r="P244" s="1" t="s">
        <v>26</v>
      </c>
    </row>
    <row r="245" spans="1:16" ht="14.25" customHeight="1">
      <c r="A245" s="1">
        <v>172015</v>
      </c>
      <c r="B245" s="1" t="s">
        <v>31</v>
      </c>
      <c r="C245" s="1" t="s">
        <v>32</v>
      </c>
      <c r="D245" s="1" t="s">
        <v>18</v>
      </c>
      <c r="E245" s="1" t="s">
        <v>32</v>
      </c>
      <c r="F245" s="1">
        <v>2622</v>
      </c>
      <c r="G245" s="1" t="s">
        <v>19</v>
      </c>
      <c r="H245" s="1" t="s">
        <v>733</v>
      </c>
      <c r="I245" s="1" t="s">
        <v>490</v>
      </c>
      <c r="J245" s="1" t="s">
        <v>127</v>
      </c>
      <c r="K245" s="1" t="s">
        <v>346</v>
      </c>
      <c r="L245" s="1">
        <v>139</v>
      </c>
      <c r="M245" s="1" t="s">
        <v>24</v>
      </c>
      <c r="N245" s="3">
        <v>45341.382430555554</v>
      </c>
      <c r="O245" s="1" t="s">
        <v>835</v>
      </c>
      <c r="P245" s="1" t="s">
        <v>26</v>
      </c>
    </row>
    <row r="246" spans="1:16" ht="14.25" customHeight="1">
      <c r="A246" s="1">
        <v>118985</v>
      </c>
      <c r="B246" s="1" t="s">
        <v>16</v>
      </c>
      <c r="C246" s="1" t="s">
        <v>17</v>
      </c>
      <c r="D246" s="1" t="s">
        <v>18</v>
      </c>
      <c r="E246" s="1" t="s">
        <v>32</v>
      </c>
      <c r="F246" s="1">
        <v>694</v>
      </c>
      <c r="G246" s="1" t="s">
        <v>19</v>
      </c>
      <c r="H246" s="1" t="s">
        <v>737</v>
      </c>
      <c r="I246" s="1" t="s">
        <v>494</v>
      </c>
      <c r="J246" s="1" t="s">
        <v>131</v>
      </c>
      <c r="K246" s="1" t="s">
        <v>350</v>
      </c>
      <c r="L246" s="1">
        <v>139</v>
      </c>
      <c r="M246" s="1" t="s">
        <v>24</v>
      </c>
      <c r="N246" s="3">
        <v>45341.382430555554</v>
      </c>
      <c r="O246" s="1" t="s">
        <v>835</v>
      </c>
      <c r="P246" s="1" t="s">
        <v>26</v>
      </c>
    </row>
    <row r="247" spans="1:16" ht="14.25" customHeight="1">
      <c r="A247" s="1">
        <v>112194</v>
      </c>
      <c r="B247" s="1" t="s">
        <v>16</v>
      </c>
      <c r="C247" s="1" t="s">
        <v>32</v>
      </c>
      <c r="D247" s="1" t="s">
        <v>18</v>
      </c>
      <c r="E247" s="1" t="s">
        <v>32</v>
      </c>
      <c r="F247" s="1">
        <v>2187</v>
      </c>
      <c r="G247" s="1" t="s">
        <v>19</v>
      </c>
      <c r="H247" s="1" t="s">
        <v>741</v>
      </c>
      <c r="I247" s="1" t="s">
        <v>498</v>
      </c>
      <c r="J247" s="1" t="s">
        <v>135</v>
      </c>
      <c r="K247" s="1" t="s">
        <v>132</v>
      </c>
      <c r="L247" s="1">
        <v>109</v>
      </c>
      <c r="M247" s="1" t="s">
        <v>24</v>
      </c>
      <c r="N247" s="3">
        <v>45341.38244212963</v>
      </c>
      <c r="O247" s="1" t="s">
        <v>25</v>
      </c>
      <c r="P247" s="1" t="s">
        <v>26</v>
      </c>
    </row>
    <row r="248" spans="1:16" ht="14.25" customHeight="1">
      <c r="A248" s="1">
        <v>113435</v>
      </c>
      <c r="B248" s="1" t="s">
        <v>16</v>
      </c>
      <c r="C248" s="1" t="s">
        <v>17</v>
      </c>
      <c r="D248" s="1" t="s">
        <v>18</v>
      </c>
      <c r="E248" s="1" t="s">
        <v>32</v>
      </c>
      <c r="F248" s="1">
        <v>2973</v>
      </c>
      <c r="G248" s="1" t="s">
        <v>19</v>
      </c>
      <c r="H248" s="1" t="s">
        <v>745</v>
      </c>
      <c r="I248" s="1" t="s">
        <v>502</v>
      </c>
      <c r="J248" s="1" t="s">
        <v>139</v>
      </c>
      <c r="K248" s="1" t="s">
        <v>136</v>
      </c>
      <c r="L248" s="1">
        <v>129</v>
      </c>
      <c r="M248" s="1" t="s">
        <v>24</v>
      </c>
      <c r="N248" s="3">
        <v>45341.38244212963</v>
      </c>
      <c r="O248" s="1" t="s">
        <v>25</v>
      </c>
      <c r="P248" s="1" t="s">
        <v>26</v>
      </c>
    </row>
    <row r="249" spans="1:16" ht="14.25" customHeight="1">
      <c r="A249" s="1">
        <v>159182</v>
      </c>
      <c r="B249" s="1" t="s">
        <v>49</v>
      </c>
      <c r="C249" s="1" t="s">
        <v>32</v>
      </c>
      <c r="D249" s="1" t="s">
        <v>18</v>
      </c>
      <c r="E249" s="1" t="s">
        <v>17</v>
      </c>
      <c r="F249" s="1">
        <v>1014</v>
      </c>
      <c r="G249" s="1" t="s">
        <v>19</v>
      </c>
      <c r="H249" s="1" t="s">
        <v>749</v>
      </c>
      <c r="I249" s="1" t="s">
        <v>506</v>
      </c>
      <c r="J249" s="1" t="s">
        <v>143</v>
      </c>
      <c r="K249" s="1" t="s">
        <v>140</v>
      </c>
      <c r="L249" s="1">
        <v>169</v>
      </c>
      <c r="M249" s="1" t="s">
        <v>24</v>
      </c>
      <c r="N249" s="3">
        <v>45341.382453703707</v>
      </c>
      <c r="O249" s="1" t="s">
        <v>25</v>
      </c>
      <c r="P249" s="1" t="s">
        <v>26</v>
      </c>
    </row>
    <row r="250" spans="1:16" ht="14.25" customHeight="1">
      <c r="A250" s="1">
        <v>199233</v>
      </c>
      <c r="B250" s="1" t="s">
        <v>16</v>
      </c>
      <c r="C250" s="1" t="s">
        <v>32</v>
      </c>
      <c r="D250" s="1" t="s">
        <v>18</v>
      </c>
      <c r="E250" s="1" t="s">
        <v>17</v>
      </c>
      <c r="F250" s="1">
        <v>2222</v>
      </c>
      <c r="G250" s="1" t="s">
        <v>19</v>
      </c>
      <c r="H250" s="1" t="s">
        <v>753</v>
      </c>
      <c r="I250" s="1" t="s">
        <v>510</v>
      </c>
      <c r="J250" s="1" t="s">
        <v>147</v>
      </c>
      <c r="K250" s="1" t="s">
        <v>144</v>
      </c>
      <c r="L250" s="1">
        <v>159</v>
      </c>
      <c r="M250" s="1" t="s">
        <v>24</v>
      </c>
      <c r="N250" s="3">
        <v>45341.382453703707</v>
      </c>
      <c r="O250" s="1" t="s">
        <v>25</v>
      </c>
      <c r="P250" s="1" t="s">
        <v>26</v>
      </c>
    </row>
    <row r="251" spans="1:16" ht="14.25" customHeight="1">
      <c r="A251" s="1">
        <v>137044</v>
      </c>
      <c r="B251" s="1" t="s">
        <v>16</v>
      </c>
      <c r="C251" s="1" t="s">
        <v>17</v>
      </c>
      <c r="D251" s="1" t="s">
        <v>18</v>
      </c>
      <c r="E251" s="1" t="s">
        <v>32</v>
      </c>
      <c r="F251" s="1">
        <v>2534</v>
      </c>
      <c r="G251" s="1" t="s">
        <v>19</v>
      </c>
      <c r="H251" s="1" t="s">
        <v>367</v>
      </c>
      <c r="I251" s="1" t="s">
        <v>513</v>
      </c>
      <c r="J251" s="1" t="s">
        <v>131</v>
      </c>
      <c r="K251" s="1" t="s">
        <v>148</v>
      </c>
      <c r="L251" s="1">
        <v>12.99</v>
      </c>
      <c r="M251" s="1" t="s">
        <v>24</v>
      </c>
      <c r="N251" s="3">
        <v>45341.382465277777</v>
      </c>
      <c r="O251" s="1" t="s">
        <v>25</v>
      </c>
      <c r="P251" s="1" t="s">
        <v>26</v>
      </c>
    </row>
    <row r="252" spans="1:16" ht="14.25" customHeight="1">
      <c r="A252" s="1">
        <v>154736</v>
      </c>
      <c r="B252" s="1" t="s">
        <v>49</v>
      </c>
      <c r="C252" s="1" t="s">
        <v>32</v>
      </c>
      <c r="D252" s="1" t="s">
        <v>18</v>
      </c>
      <c r="E252" s="1" t="s">
        <v>32</v>
      </c>
      <c r="F252" s="1">
        <v>1466</v>
      </c>
      <c r="G252" s="1" t="s">
        <v>19</v>
      </c>
      <c r="H252" s="1" t="s">
        <v>371</v>
      </c>
      <c r="I252" s="1" t="s">
        <v>518</v>
      </c>
      <c r="J252" s="1" t="s">
        <v>154</v>
      </c>
      <c r="K252" s="1" t="s">
        <v>151</v>
      </c>
      <c r="L252" s="1">
        <v>19.899999999999999</v>
      </c>
      <c r="M252" s="1" t="s">
        <v>24</v>
      </c>
      <c r="N252" s="3">
        <v>45341.382476851853</v>
      </c>
      <c r="O252" s="1" t="s">
        <v>25</v>
      </c>
      <c r="P252" s="1" t="s">
        <v>26</v>
      </c>
    </row>
    <row r="253" spans="1:16" ht="14.25" customHeight="1">
      <c r="A253" s="1">
        <v>141434</v>
      </c>
      <c r="B253" s="1" t="s">
        <v>49</v>
      </c>
      <c r="C253" s="1" t="s">
        <v>17</v>
      </c>
      <c r="D253" s="1" t="s">
        <v>18</v>
      </c>
      <c r="E253" s="1" t="s">
        <v>32</v>
      </c>
      <c r="F253" s="1">
        <v>2870</v>
      </c>
      <c r="G253" s="1" t="s">
        <v>19</v>
      </c>
      <c r="H253" s="1" t="s">
        <v>375</v>
      </c>
      <c r="I253" s="1" t="s">
        <v>522</v>
      </c>
      <c r="J253" s="1" t="s">
        <v>52</v>
      </c>
      <c r="K253" s="1" t="s">
        <v>155</v>
      </c>
      <c r="L253" s="1">
        <v>39.9</v>
      </c>
      <c r="M253" s="1" t="s">
        <v>24</v>
      </c>
      <c r="N253" s="3">
        <v>45341.382314814815</v>
      </c>
      <c r="O253" s="1" t="s">
        <v>25</v>
      </c>
      <c r="P253" s="1" t="s">
        <v>26</v>
      </c>
    </row>
    <row r="254" spans="1:16" ht="14.25" customHeight="1"/>
    <row r="255" spans="1:16" ht="14.25" customHeight="1"/>
    <row r="256" spans="1:1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H7"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workbookViewId="0"/>
  </sheetViews>
  <sheetFormatPr defaultColWidth="12.5703125" defaultRowHeight="15" customHeight="1"/>
  <cols>
    <col min="1" max="26" width="8.5703125" customWidth="1"/>
  </cols>
  <sheetData>
    <row r="1" spans="1:9" ht="14.25" customHeight="1">
      <c r="A1" s="1" t="s">
        <v>901</v>
      </c>
    </row>
    <row r="2" spans="1:9" ht="14.25" customHeight="1"/>
    <row r="3" spans="1:9" ht="14.25" customHeight="1">
      <c r="A3" s="8" t="s">
        <v>902</v>
      </c>
      <c r="B3" s="9"/>
    </row>
    <row r="4" spans="1:9" ht="14.25" customHeight="1">
      <c r="A4" s="4" t="s">
        <v>903</v>
      </c>
      <c r="B4" s="4">
        <v>6.1704911442897838E-2</v>
      </c>
    </row>
    <row r="5" spans="1:9" ht="14.25" customHeight="1">
      <c r="A5" s="4" t="s">
        <v>904</v>
      </c>
      <c r="B5" s="4">
        <v>3.8074960961758646E-3</v>
      </c>
    </row>
    <row r="6" spans="1:9" ht="14.25" customHeight="1">
      <c r="A6" s="4" t="s">
        <v>905</v>
      </c>
      <c r="B6" s="4">
        <v>-1.7727391943943172E-4</v>
      </c>
    </row>
    <row r="7" spans="1:9" ht="14.25" customHeight="1">
      <c r="A7" s="4" t="s">
        <v>906</v>
      </c>
      <c r="B7" s="4">
        <v>697.76558807044717</v>
      </c>
    </row>
    <row r="8" spans="1:9" ht="14.25" customHeight="1">
      <c r="A8" s="7" t="s">
        <v>907</v>
      </c>
      <c r="B8" s="7">
        <v>252</v>
      </c>
    </row>
    <row r="9" spans="1:9" ht="14.25" customHeight="1"/>
    <row r="10" spans="1:9" ht="14.25" customHeight="1">
      <c r="A10" s="1" t="s">
        <v>908</v>
      </c>
    </row>
    <row r="11" spans="1:9" ht="14.25" customHeight="1">
      <c r="A11" s="6"/>
      <c r="B11" s="6" t="s">
        <v>909</v>
      </c>
      <c r="C11" s="6" t="s">
        <v>910</v>
      </c>
      <c r="D11" s="6" t="s">
        <v>911</v>
      </c>
      <c r="E11" s="6" t="s">
        <v>912</v>
      </c>
      <c r="F11" s="6" t="s">
        <v>913</v>
      </c>
    </row>
    <row r="12" spans="1:9" ht="14.25" customHeight="1">
      <c r="A12" s="4" t="s">
        <v>914</v>
      </c>
      <c r="B12" s="4">
        <v>1</v>
      </c>
      <c r="C12" s="4">
        <v>465216.70474717021</v>
      </c>
      <c r="D12" s="4">
        <v>465216.70474717021</v>
      </c>
      <c r="E12" s="4">
        <v>0.95551213275929592</v>
      </c>
      <c r="F12" s="4">
        <v>0.32926512775414896</v>
      </c>
    </row>
    <row r="13" spans="1:9" ht="14.25" customHeight="1">
      <c r="A13" s="4" t="s">
        <v>915</v>
      </c>
      <c r="B13" s="4">
        <v>250</v>
      </c>
      <c r="C13" s="4">
        <v>121719203.97382423</v>
      </c>
      <c r="D13" s="4">
        <v>486876.81589529692</v>
      </c>
      <c r="E13" s="4"/>
      <c r="F13" s="4"/>
    </row>
    <row r="14" spans="1:9" ht="14.25" customHeight="1">
      <c r="A14" s="7" t="s">
        <v>916</v>
      </c>
      <c r="B14" s="7">
        <v>251</v>
      </c>
      <c r="C14" s="7">
        <v>122184420.6785714</v>
      </c>
      <c r="D14" s="7"/>
      <c r="E14" s="7"/>
      <c r="F14" s="7"/>
    </row>
    <row r="15" spans="1:9" ht="14.25" customHeight="1"/>
    <row r="16" spans="1:9" ht="14.25" customHeight="1">
      <c r="A16" s="6"/>
      <c r="B16" s="6" t="s">
        <v>917</v>
      </c>
      <c r="C16" s="6" t="s">
        <v>906</v>
      </c>
      <c r="D16" s="6" t="s">
        <v>918</v>
      </c>
      <c r="E16" s="6" t="s">
        <v>919</v>
      </c>
      <c r="F16" s="6" t="s">
        <v>920</v>
      </c>
      <c r="G16" s="6" t="s">
        <v>921</v>
      </c>
      <c r="H16" s="6" t="s">
        <v>922</v>
      </c>
      <c r="I16" s="6" t="s">
        <v>923</v>
      </c>
    </row>
    <row r="17" spans="1:9" ht="14.25" customHeight="1">
      <c r="A17" s="4" t="s">
        <v>924</v>
      </c>
      <c r="B17" s="4">
        <v>1894.9818628634082</v>
      </c>
      <c r="C17" s="4">
        <v>85.143242011411957</v>
      </c>
      <c r="D17" s="4">
        <v>22.256397784446818</v>
      </c>
      <c r="E17" s="4">
        <v>3.0765548156871604E-61</v>
      </c>
      <c r="F17" s="4">
        <v>1727.2923845112643</v>
      </c>
      <c r="G17" s="4">
        <v>2062.6713412155518</v>
      </c>
      <c r="H17" s="4">
        <v>1727.2923845112643</v>
      </c>
      <c r="I17" s="4">
        <v>2062.6713412155518</v>
      </c>
    </row>
    <row r="18" spans="1:9" ht="14.25" customHeight="1">
      <c r="A18" s="7" t="s">
        <v>925</v>
      </c>
      <c r="B18" s="7">
        <v>-0.8226536904757662</v>
      </c>
      <c r="C18" s="7">
        <v>0.84158686247989201</v>
      </c>
      <c r="D18" s="7">
        <v>-0.97750300907937693</v>
      </c>
      <c r="E18" s="7">
        <v>0.32926512775416428</v>
      </c>
      <c r="F18" s="7">
        <v>-2.480157664054258</v>
      </c>
      <c r="G18" s="7">
        <v>0.83485028310272535</v>
      </c>
      <c r="H18" s="7">
        <v>-2.480157664054258</v>
      </c>
      <c r="I18" s="7">
        <v>0.83485028310272535</v>
      </c>
    </row>
    <row r="19" spans="1:9" ht="14.25" customHeight="1"/>
    <row r="20" spans="1:9" ht="14.25" customHeight="1"/>
    <row r="21" spans="1:9" ht="14.25" customHeight="1"/>
    <row r="22" spans="1:9" ht="14.25" customHeight="1"/>
    <row r="23" spans="1:9" ht="14.25" customHeight="1"/>
    <row r="24" spans="1:9" ht="14.25" customHeight="1"/>
    <row r="25" spans="1:9" ht="14.25" customHeight="1"/>
    <row r="26" spans="1:9" ht="14.25" customHeight="1"/>
    <row r="27" spans="1:9" ht="14.25" customHeight="1"/>
    <row r="28" spans="1:9" ht="14.25" customHeight="1"/>
    <row r="29" spans="1:9" ht="14.25" customHeight="1"/>
    <row r="30" spans="1:9" ht="14.25" customHeight="1"/>
    <row r="31" spans="1:9" ht="14.25" customHeight="1"/>
    <row r="32" spans="1:9"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3:B3"/>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LR - Price v 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Aathmika Krishna</cp:lastModifiedBy>
  <dcterms:created xsi:type="dcterms:W3CDTF">2025-10-20T22:11:17Z</dcterms:created>
  <dcterms:modified xsi:type="dcterms:W3CDTF">2025-12-07T22:31:40Z</dcterms:modified>
</cp:coreProperties>
</file>